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BOQ\"/>
    </mc:Choice>
  </mc:AlternateContent>
  <bookViews>
    <workbookView xWindow="-120" yWindow="-120" windowWidth="29040" windowHeight="15840"/>
  </bookViews>
  <sheets>
    <sheet name="Goldfarm" sheetId="1" r:id="rId1"/>
  </sheets>
  <definedNames>
    <definedName name="_xlnm.Print_Area" localSheetId="0">Goldfarm!$A$1:$I$48</definedName>
  </definedNames>
  <calcPr calcId="162913"/>
</workbook>
</file>

<file path=xl/calcChain.xml><?xml version="1.0" encoding="utf-8"?>
<calcChain xmlns="http://schemas.openxmlformats.org/spreadsheetml/2006/main">
  <c r="H44" i="1" l="1"/>
  <c r="H43" i="1"/>
  <c r="H42" i="1" s="1"/>
  <c r="H41" i="1"/>
  <c r="H40" i="1"/>
  <c r="H39" i="1"/>
  <c r="H38" i="1"/>
  <c r="H33" i="1"/>
  <c r="H32" i="1"/>
  <c r="H30" i="1" l="1"/>
  <c r="H34" i="1" s="1"/>
  <c r="H37" i="1"/>
  <c r="H45" i="1" s="1"/>
  <c r="H46" i="1" l="1"/>
  <c r="H47" i="1" s="1"/>
  <c r="H48" i="1" s="1"/>
</calcChain>
</file>

<file path=xl/sharedStrings.xml><?xml version="1.0" encoding="utf-8"?>
<sst xmlns="http://schemas.openxmlformats.org/spreadsheetml/2006/main" count="134" uniqueCount="105">
  <si>
    <r>
      <rPr>
        <sz val="5.5"/>
        <rFont val="Microsoft Sans Serif"/>
        <family val="2"/>
      </rPr>
      <t>Dự án/ Project             : FACTORY</t>
    </r>
  </si>
  <si>
    <r>
      <rPr>
        <sz val="5.5"/>
        <rFont val="Microsoft Sans Serif"/>
        <family val="2"/>
      </rPr>
      <t>Địa điểm/ Location    : GIANG DIEN INDUSTRY, DONG NAI PROVINCE</t>
    </r>
  </si>
  <si>
    <r>
      <rPr>
        <sz val="5.5"/>
        <rFont val="Microsoft Sans Serif"/>
        <family val="2"/>
      </rPr>
      <t>Kính gửi/ Kindly to      : BOAD DIRECTOR</t>
    </r>
  </si>
  <si>
    <r>
      <rPr>
        <i/>
        <sz val="5.5"/>
        <color rgb="FF808080"/>
        <rFont val="Arial"/>
        <family val="2"/>
      </rPr>
      <t xml:space="preserve">• Thanks for giving us opportunity in Design &amp; Construction. As per your request, New Investment Construction Consultant Joint Stock Company (NICON) would like to send to you the Quotation that is
</t>
    </r>
    <r>
      <rPr>
        <i/>
        <sz val="5.5"/>
        <color rgb="FF808080"/>
        <rFont val="Arial"/>
        <family val="2"/>
      </rPr>
      <t>prepared based on your demands with detailed items:</t>
    </r>
  </si>
  <si>
    <r>
      <rPr>
        <b/>
        <sz val="5.5"/>
        <rFont val="Arial"/>
        <family val="2"/>
      </rPr>
      <t>A</t>
    </r>
  </si>
  <si>
    <r>
      <rPr>
        <b/>
        <sz val="5.5"/>
        <rFont val="Arial"/>
        <family val="2"/>
      </rPr>
      <t>Quy mô công trình/Site of Project</t>
    </r>
  </si>
  <si>
    <r>
      <rPr>
        <b/>
        <sz val="5.5"/>
        <rFont val="Arial"/>
        <family val="2"/>
      </rPr>
      <t>Stt ID</t>
    </r>
  </si>
  <si>
    <r>
      <rPr>
        <b/>
        <sz val="5.5"/>
        <rFont val="Arial"/>
        <family val="2"/>
      </rPr>
      <t>Miêu tả</t>
    </r>
  </si>
  <si>
    <r>
      <rPr>
        <b/>
        <sz val="5.5"/>
        <rFont val="Arial"/>
        <family val="2"/>
      </rPr>
      <t>Description</t>
    </r>
  </si>
  <si>
    <r>
      <rPr>
        <b/>
        <sz val="5.5"/>
        <rFont val="Arial"/>
        <family val="2"/>
      </rPr>
      <t>Đơn vị Unit</t>
    </r>
  </si>
  <si>
    <r>
      <rPr>
        <b/>
        <sz val="5.5"/>
        <rFont val="Arial"/>
        <family val="2"/>
      </rPr>
      <t xml:space="preserve">Diện tích đất/
</t>
    </r>
    <r>
      <rPr>
        <b/>
        <sz val="5.5"/>
        <rFont val="Arial"/>
        <family val="2"/>
      </rPr>
      <t>Land Area</t>
    </r>
  </si>
  <si>
    <r>
      <rPr>
        <b/>
        <sz val="5.5"/>
        <rFont val="Arial"/>
        <family val="2"/>
      </rPr>
      <t>Diện tích sàn xây dựng/  Construction Floor Area</t>
    </r>
  </si>
  <si>
    <r>
      <rPr>
        <b/>
        <sz val="5.5"/>
        <rFont val="Arial"/>
        <family val="2"/>
      </rPr>
      <t>Diện tích xây dựng hạ tầng/ Infrastructure Area, Landscape</t>
    </r>
  </si>
  <si>
    <r>
      <rPr>
        <b/>
        <sz val="5.5"/>
        <rFont val="Arial"/>
        <family val="2"/>
      </rPr>
      <t>Chiều cao/ Height</t>
    </r>
  </si>
  <si>
    <r>
      <rPr>
        <b/>
        <sz val="5.5"/>
        <rFont val="Arial"/>
        <family val="2"/>
      </rPr>
      <t>Diện tích đất</t>
    </r>
  </si>
  <si>
    <r>
      <rPr>
        <b/>
        <sz val="5.5"/>
        <rFont val="Arial"/>
        <family val="2"/>
      </rPr>
      <t>Land Area</t>
    </r>
  </si>
  <si>
    <r>
      <rPr>
        <b/>
        <sz val="5.5"/>
        <rFont val="Arial"/>
        <family val="2"/>
      </rPr>
      <t>m2</t>
    </r>
  </si>
  <si>
    <r>
      <rPr>
        <b/>
        <sz val="5.5"/>
        <rFont val="Arial"/>
        <family val="2"/>
      </rPr>
      <t>Diện tích sàn xây dựng</t>
    </r>
  </si>
  <si>
    <r>
      <rPr>
        <b/>
        <sz val="5.5"/>
        <rFont val="Arial"/>
        <family val="2"/>
      </rPr>
      <t>Construction</t>
    </r>
  </si>
  <si>
    <r>
      <rPr>
        <sz val="5.5"/>
        <rFont val="Microsoft Sans Serif"/>
        <family val="2"/>
      </rPr>
      <t>Nhà xưởng 1</t>
    </r>
  </si>
  <si>
    <r>
      <rPr>
        <sz val="5.5"/>
        <rFont val="Arial MT"/>
        <family val="2"/>
      </rPr>
      <t>Workshop 1</t>
    </r>
  </si>
  <si>
    <r>
      <rPr>
        <sz val="5.5"/>
        <rFont val="Arial MT"/>
        <family val="2"/>
      </rPr>
      <t>m2</t>
    </r>
  </si>
  <si>
    <r>
      <rPr>
        <sz val="5.5"/>
        <rFont val="Microsoft Sans Serif"/>
        <family val="2"/>
      </rPr>
      <t>Nhà xưởng 2</t>
    </r>
  </si>
  <si>
    <r>
      <rPr>
        <sz val="5.5"/>
        <rFont val="Arial MT"/>
        <family val="2"/>
      </rPr>
      <t>Workshop 2</t>
    </r>
  </si>
  <si>
    <r>
      <rPr>
        <sz val="5.5"/>
        <rFont val="Microsoft Sans Serif"/>
        <family val="2"/>
      </rPr>
      <t>Văn phòng (2 tầng)</t>
    </r>
  </si>
  <si>
    <r>
      <rPr>
        <sz val="5.5"/>
        <rFont val="Arial MT"/>
        <family val="2"/>
      </rPr>
      <t>Office (2 floors)</t>
    </r>
  </si>
  <si>
    <r>
      <rPr>
        <sz val="5.5"/>
        <rFont val="Microsoft Sans Serif"/>
        <family val="2"/>
      </rPr>
      <t>Nhà ăn, Nhà nghỉ chuyên gia (2 tầng)</t>
    </r>
  </si>
  <si>
    <r>
      <rPr>
        <sz val="5.5"/>
        <rFont val="Arial MT"/>
        <family val="2"/>
      </rPr>
      <t>Canteen, Housing for Experts (2 floors)</t>
    </r>
  </si>
  <si>
    <r>
      <rPr>
        <sz val="5.5"/>
        <rFont val="Microsoft Sans Serif"/>
        <family val="2"/>
      </rPr>
      <t>Nhà bảo vệ</t>
    </r>
  </si>
  <si>
    <r>
      <rPr>
        <sz val="5.5"/>
        <rFont val="Arial MT"/>
        <family val="2"/>
      </rPr>
      <t>Guard house</t>
    </r>
  </si>
  <si>
    <r>
      <rPr>
        <sz val="5.5"/>
        <rFont val="Microsoft Sans Serif"/>
        <family val="2"/>
      </rPr>
      <t>Nhà để xe (3 tầng)</t>
    </r>
  </si>
  <si>
    <r>
      <rPr>
        <sz val="5.5"/>
        <rFont val="Arial MT"/>
        <family val="2"/>
      </rPr>
      <t>Parking lot (3 floors)</t>
    </r>
  </si>
  <si>
    <r>
      <rPr>
        <sz val="5.5"/>
        <rFont val="Microsoft Sans Serif"/>
        <family val="2"/>
      </rPr>
      <t>Trạm xử lý nước thải, Các tiện tích khác</t>
    </r>
  </si>
  <si>
    <r>
      <rPr>
        <sz val="5.5"/>
        <rFont val="Arial MT"/>
        <family val="2"/>
      </rPr>
      <t>Waste Water Treatment, Utilities</t>
    </r>
  </si>
  <si>
    <r>
      <rPr>
        <sz val="5.5"/>
        <rFont val="Microsoft Sans Serif"/>
        <family val="2"/>
      </rPr>
      <t>Nhà đặt máy phát điện, trạm biến áp</t>
    </r>
  </si>
  <si>
    <r>
      <rPr>
        <sz val="5.5"/>
        <rFont val="Arial MT"/>
        <family val="2"/>
      </rPr>
      <t>Generator house and Transformer station</t>
    </r>
  </si>
  <si>
    <r>
      <rPr>
        <sz val="5.5"/>
        <rFont val="Microsoft Sans Serif"/>
        <family val="2"/>
      </rPr>
      <t>Bể nước cho PCCC 600m3</t>
    </r>
  </si>
  <si>
    <r>
      <rPr>
        <sz val="5.5"/>
        <rFont val="Arial MT"/>
        <family val="2"/>
      </rPr>
      <t>Water tank for Fire fighting 600m3</t>
    </r>
  </si>
  <si>
    <r>
      <rPr>
        <sz val="5.5"/>
        <rFont val="Microsoft Sans Serif"/>
        <family val="2"/>
      </rPr>
      <t>Đường, Bãi xuất nhập hàng, lối đi bộ, bãi xe</t>
    </r>
  </si>
  <si>
    <r>
      <rPr>
        <sz val="5.5"/>
        <rFont val="Arial MT"/>
        <family val="2"/>
      </rPr>
      <t>Yard, Internal road</t>
    </r>
  </si>
  <si>
    <r>
      <rPr>
        <sz val="5.5"/>
        <rFont val="Microsoft Sans Serif"/>
        <family val="2"/>
      </rPr>
      <t>Diện tích cây xanh</t>
    </r>
  </si>
  <si>
    <r>
      <rPr>
        <sz val="5.5"/>
        <rFont val="Arial MT"/>
        <family val="2"/>
      </rPr>
      <t>Green area</t>
    </r>
  </si>
  <si>
    <r>
      <rPr>
        <sz val="5.5"/>
        <rFont val="Microsoft Sans Serif"/>
        <family val="2"/>
      </rPr>
      <t>Hàng rào, Cổng</t>
    </r>
  </si>
  <si>
    <r>
      <rPr>
        <sz val="5.5"/>
        <rFont val="Arial MT"/>
        <family val="2"/>
      </rPr>
      <t>Fence, Gate</t>
    </r>
  </si>
  <si>
    <r>
      <rPr>
        <b/>
        <sz val="5.5"/>
        <rFont val="Arial"/>
        <family val="2"/>
      </rPr>
      <t>B</t>
    </r>
  </si>
  <si>
    <r>
      <rPr>
        <b/>
        <sz val="5.5"/>
        <rFont val="Arial"/>
        <family val="2"/>
      </rPr>
      <t>Nội dung công việc</t>
    </r>
  </si>
  <si>
    <r>
      <rPr>
        <b/>
        <sz val="5.5"/>
        <rFont val="Arial"/>
        <family val="2"/>
      </rPr>
      <t>Description of work</t>
    </r>
  </si>
  <si>
    <r>
      <rPr>
        <b/>
        <sz val="5.5"/>
        <rFont val="Arial"/>
        <family val="2"/>
      </rPr>
      <t>Đơn vị/ Unit</t>
    </r>
  </si>
  <si>
    <r>
      <rPr>
        <b/>
        <sz val="5.5"/>
        <rFont val="Arial"/>
        <family val="2"/>
      </rPr>
      <t>Khối lượng/ Quantity</t>
    </r>
  </si>
  <si>
    <r>
      <rPr>
        <b/>
        <sz val="5.5"/>
        <rFont val="Arial"/>
        <family val="2"/>
      </rPr>
      <t>Đơn giá/ Price (VND)</t>
    </r>
  </si>
  <si>
    <r>
      <rPr>
        <b/>
        <sz val="5.5"/>
        <rFont val="Arial"/>
        <family val="2"/>
      </rPr>
      <t>Thành tiền/ Amount (VND)</t>
    </r>
  </si>
  <si>
    <r>
      <rPr>
        <b/>
        <sz val="5.5"/>
        <rFont val="Arial"/>
        <family val="2"/>
      </rPr>
      <t>Ghi chú/ Note</t>
    </r>
  </si>
  <si>
    <r>
      <rPr>
        <b/>
        <sz val="5.5"/>
        <rFont val="Arial"/>
        <family val="2"/>
      </rPr>
      <t>I</t>
    </r>
  </si>
  <si>
    <r>
      <rPr>
        <b/>
        <sz val="5.5"/>
        <rFont val="Arial"/>
        <family val="2"/>
      </rPr>
      <t>Công tác khảo sát</t>
    </r>
  </si>
  <si>
    <r>
      <rPr>
        <b/>
        <sz val="5.5"/>
        <rFont val="Arial"/>
        <family val="2"/>
      </rPr>
      <t>II</t>
    </r>
  </si>
  <si>
    <r>
      <rPr>
        <b/>
        <sz val="5.5"/>
        <rFont val="Arial"/>
        <family val="2"/>
      </rPr>
      <t>Công tác thiết kế</t>
    </r>
  </si>
  <si>
    <r>
      <rPr>
        <b/>
        <sz val="5.5"/>
        <rFont val="Arial"/>
        <family val="2"/>
      </rPr>
      <t>Design works</t>
    </r>
  </si>
  <si>
    <r>
      <rPr>
        <b/>
        <sz val="5.5"/>
        <rFont val="Arial"/>
        <family val="2"/>
      </rPr>
      <t xml:space="preserve">Thiết kế sơ bộ
</t>
    </r>
    <r>
      <rPr>
        <sz val="5.5"/>
        <rFont val="Microsoft Sans Serif"/>
        <family val="2"/>
      </rPr>
      <t xml:space="preserve">- Tính toán mật độ xây dựng, thống kê diện tích các hạng mục xây dựng
</t>
    </r>
    <r>
      <rPr>
        <sz val="5.5"/>
        <rFont val="Microsoft Sans Serif"/>
        <family val="2"/>
      </rPr>
      <t xml:space="preserve">- Thiết kế tổng mặt bằng và phương án kiến trúc </t>
    </r>
    <r>
      <rPr>
        <sz val="5.5"/>
        <rFont val="Arial MT"/>
        <family val="2"/>
      </rPr>
      <t>cho công trình</t>
    </r>
  </si>
  <si>
    <r>
      <rPr>
        <b/>
        <sz val="5.5"/>
        <rFont val="Arial"/>
        <family val="2"/>
      </rPr>
      <t xml:space="preserve">Concept Design
</t>
    </r>
    <r>
      <rPr>
        <sz val="5.5"/>
        <rFont val="Arial MT"/>
        <family val="2"/>
      </rPr>
      <t xml:space="preserve">- Calculate construction density, calculate area of </t>
    </r>
    <r>
      <rPr>
        <sz val="5.5"/>
        <rFont val="Microsoft Sans Serif"/>
        <family val="2"/>
      </rPr>
      <t xml:space="preserve">construction items
</t>
    </r>
    <r>
      <rPr>
        <sz val="5.5"/>
        <rFont val="Arial MT"/>
        <family val="2"/>
      </rPr>
      <t>- Design the overall layout and architectural plans for the project</t>
    </r>
  </si>
  <si>
    <r>
      <rPr>
        <sz val="5.5"/>
        <rFont val="Arial MT"/>
        <family val="2"/>
      </rPr>
      <t>set</t>
    </r>
  </si>
  <si>
    <r>
      <rPr>
        <b/>
        <sz val="5.5"/>
        <rFont val="Arial"/>
        <family val="2"/>
      </rPr>
      <t>-</t>
    </r>
  </si>
  <si>
    <r>
      <rPr>
        <b/>
        <sz val="5.5"/>
        <color rgb="FFFF0000"/>
        <rFont val="Arial"/>
        <family val="2"/>
      </rPr>
      <t>Free</t>
    </r>
  </si>
  <si>
    <r>
      <rPr>
        <b/>
        <sz val="5.5"/>
        <rFont val="Arial"/>
        <family val="2"/>
      </rPr>
      <t xml:space="preserve">Thiết kế cơ sở
</t>
    </r>
    <r>
      <rPr>
        <sz val="5.5"/>
        <rFont val="Microsoft Sans Serif"/>
        <family val="2"/>
      </rPr>
      <t xml:space="preserve">1. Phần bản vẽ thiết kế cơ sở bao gồm:
</t>
    </r>
    <r>
      <rPr>
        <sz val="5.5"/>
        <rFont val="Microsoft Sans Serif"/>
        <family val="2"/>
      </rPr>
      <t xml:space="preserve">-  Bản vẽ tổng mặt bằng công trình
</t>
    </r>
    <r>
      <rPr>
        <sz val="5.5"/>
        <rFont val="Microsoft Sans Serif"/>
        <family val="2"/>
      </rPr>
      <t xml:space="preserve">-  Bản vẽ phương án kiến trúc
</t>
    </r>
    <r>
      <rPr>
        <sz val="5.5"/>
        <rFont val="Microsoft Sans Serif"/>
        <family val="2"/>
      </rPr>
      <t xml:space="preserve">- Bản vẽ phương án kết cấu chính, hệ thống kỹ thuật, hạ tầng kỹ thuật  chủ yếu của công trình, kết nối với hạ tầng kỹ thuật của khu vực.
</t>
    </r>
    <r>
      <rPr>
        <sz val="5.5"/>
        <rFont val="Microsoft Sans Serif"/>
        <family val="2"/>
      </rPr>
      <t xml:space="preserve">- Phối cảnh 3D cho dự án.
</t>
    </r>
    <r>
      <rPr>
        <sz val="5.5"/>
        <rFont val="Microsoft Sans Serif"/>
        <family val="2"/>
      </rPr>
      <t xml:space="preserve">2. Phần thuyết minh thiết kế cơ sở bao gồm các nội dung:
</t>
    </r>
    <r>
      <rPr>
        <sz val="5.5"/>
        <rFont val="Microsoft Sans Serif"/>
        <family val="2"/>
      </rPr>
      <t xml:space="preserve">- Giới thiệu tóm tắt địa điểm xây dựng, phương án thiết kế; tổng mặt bằng công trình, hoặc phương  án tuyến công trình đối với công trình xây dựng theo tuyến; vị trí, quy mô xây dựng các hạng mục công trình; việc kết nối giữa các hạng mục công
</t>
    </r>
    <r>
      <rPr>
        <sz val="5.5"/>
        <rFont val="Microsoft Sans Serif"/>
        <family val="2"/>
      </rPr>
      <t xml:space="preserve">trình thuộc dự án và với hạ tầng kỹ thuật của khu vực;
</t>
    </r>
    <r>
      <rPr>
        <sz val="5.5"/>
        <rFont val="Microsoft Sans Serif"/>
        <family val="2"/>
      </rPr>
      <t xml:space="preserve">- Phương án kiến trúc đối với công trình có yêu cầu kiến trúc;
</t>
    </r>
    <r>
      <rPr>
        <sz val="5.5"/>
        <rFont val="Microsoft Sans Serif"/>
        <family val="2"/>
      </rPr>
      <t xml:space="preserve">-  Phương án kết cấu chính, hệ thống kỹ thuật, hạ tầng kỹ thuật chủ yếu của công trình;
</t>
    </r>
    <r>
      <rPr>
        <sz val="5.5"/>
        <rFont val="Microsoft Sans Serif"/>
        <family val="2"/>
      </rPr>
      <t xml:space="preserve">-  Danh mục các quy chuẩn, tiêu chuẩn chủ yếu
</t>
    </r>
    <r>
      <rPr>
        <sz val="5.5"/>
        <rFont val="Microsoft Sans Serif"/>
        <family val="2"/>
      </rPr>
      <t>được áp dụng.</t>
    </r>
  </si>
  <si>
    <r>
      <rPr>
        <b/>
        <sz val="5.5"/>
        <rFont val="Arial"/>
        <family val="2"/>
      </rPr>
      <t xml:space="preserve">Basic Design
</t>
    </r>
    <r>
      <rPr>
        <sz val="5.5"/>
        <rFont val="Arial MT"/>
        <family val="2"/>
      </rPr>
      <t xml:space="preserve">1. Basic design drawings include:
</t>
    </r>
    <r>
      <rPr>
        <sz val="5.5"/>
        <rFont val="Arial MT"/>
        <family val="2"/>
      </rPr>
      <t xml:space="preserve">- Drawing of the total construction site
</t>
    </r>
    <r>
      <rPr>
        <sz val="5.5"/>
        <rFont val="Arial MT"/>
        <family val="2"/>
      </rPr>
      <t xml:space="preserve">- Architectural plan drawings
</t>
    </r>
    <r>
      <rPr>
        <sz val="5.5"/>
        <rFont val="Arial MT"/>
        <family val="2"/>
      </rPr>
      <t xml:space="preserve">- Drawing of the main structural plan, technical system, main technical infrastructure of the project, connected to the technical infrastructure of the area.
</t>
    </r>
    <r>
      <rPr>
        <sz val="5.5"/>
        <rFont val="Arial MT"/>
        <family val="2"/>
      </rPr>
      <t xml:space="preserve">- 3D perspective for the project.
</t>
    </r>
    <r>
      <rPr>
        <sz val="5.5"/>
        <rFont val="Arial MT"/>
        <family val="2"/>
      </rPr>
      <t xml:space="preserve">2. The basic design explanation includes the following contents:
</t>
    </r>
    <r>
      <rPr>
        <sz val="5.5"/>
        <rFont val="Arial MT"/>
        <family val="2"/>
      </rPr>
      <t xml:space="preserve">- Brief introduction of construction site and design plan; total construction site, or construction route plan for linear construction projects; location and scale of construction of project items; the connection between project items and the area's technical infrastructure;
</t>
    </r>
    <r>
      <rPr>
        <sz val="5.5"/>
        <rFont val="Arial MT"/>
        <family val="2"/>
      </rPr>
      <t xml:space="preserve">- Architectural plans for projects with architectural requirements;
</t>
    </r>
    <r>
      <rPr>
        <sz val="5.5"/>
        <rFont val="Arial MT"/>
        <family val="2"/>
      </rPr>
      <t xml:space="preserve">- Main structural plan, technical system, main technical infrastructure of the project;
</t>
    </r>
    <r>
      <rPr>
        <sz val="5.5"/>
        <rFont val="Arial MT"/>
        <family val="2"/>
      </rPr>
      <t>- List of mainly applied regulations and standards.</t>
    </r>
  </si>
  <si>
    <r>
      <rPr>
        <b/>
        <sz val="5.5"/>
        <rFont val="Arial"/>
        <family val="2"/>
      </rPr>
      <t xml:space="preserve">Thiết kế kỹ thuật thi công
</t>
    </r>
    <r>
      <rPr>
        <sz val="5.5"/>
        <rFont val="Microsoft Sans Serif"/>
        <family val="2"/>
      </rPr>
      <t xml:space="preserve">-  Bản vẽ thiết kế chi tiết kiến trúc bao gồm mặt bằng, mặt đứng, mặt cắt, chi tiết cấu kiện.
</t>
    </r>
    <r>
      <rPr>
        <sz val="5.5"/>
        <rFont val="Microsoft Sans Serif"/>
        <family val="2"/>
      </rPr>
      <t xml:space="preserve">-  Bản vẽ chi tiết kết cấu bao gồm mặt bằng kết cấu, chi tiết các cấu kiện kết cấu.
</t>
    </r>
    <r>
      <rPr>
        <sz val="5.5"/>
        <rFont val="Microsoft Sans Serif"/>
        <family val="2"/>
      </rPr>
      <t xml:space="preserve">-  Bản vẽ chi tiết hạ tầng kỹ thuật bao gồm mặt bằng bố trí đường nội bộ, bó vỉa, lối đi, cổng, hàng rào, hệ thống cống thoát nước mưa, nước thải.
</t>
    </r>
    <r>
      <rPr>
        <sz val="5.5"/>
        <rFont val="Microsoft Sans Serif"/>
        <family val="2"/>
      </rPr>
      <t xml:space="preserve">-  Bản vẽ thiết kế chi tiết các hệ thống cơ điện: Điện, Điện nhẹ, cấp thoát nước, điều hòa không khí và thông gió, xử lý nước thải, PCCC.
</t>
    </r>
    <r>
      <rPr>
        <sz val="5.5"/>
        <rFont val="Microsoft Sans Serif"/>
        <family val="2"/>
      </rPr>
      <t>- Thiết minh tính toán cho thiết kế kiến trúc, kết cấu, cơ điện.</t>
    </r>
  </si>
  <si>
    <r>
      <rPr>
        <b/>
        <sz val="5.5"/>
        <rFont val="Arial"/>
        <family val="2"/>
      </rPr>
      <t xml:space="preserve">Construction Design
</t>
    </r>
    <r>
      <rPr>
        <sz val="5.5"/>
        <rFont val="Arial MT"/>
        <family val="2"/>
      </rPr>
      <t xml:space="preserve">- Detailed architectural design drawings including plans, elevations, sections, and structural details.
</t>
    </r>
    <r>
      <rPr>
        <sz val="5.5"/>
        <rFont val="Arial MT"/>
        <family val="2"/>
      </rPr>
      <t xml:space="preserve">- Detailed structural drawings include structural plans and details of structural components.
</t>
    </r>
    <r>
      <rPr>
        <sz val="5.5"/>
        <rFont val="Arial MT"/>
        <family val="2"/>
      </rPr>
      <t xml:space="preserve">- Detailed technical infrastructure drawings including layout of internal roads, sidewalks, walkways, gates, fences, stormwater and wastewater drainage systems.
</t>
    </r>
    <r>
      <rPr>
        <sz val="5.5"/>
        <rFont val="Arial MT"/>
        <family val="2"/>
      </rPr>
      <t xml:space="preserve">- Detailed design drawings of mechanical and electrical systems: Electricity, light electricity, water supply and drainage, air conditioning and ventilation, wastewater treatment, fire protection.
</t>
    </r>
    <r>
      <rPr>
        <sz val="5.5"/>
        <rFont val="Arial MT"/>
        <family val="2"/>
      </rPr>
      <t xml:space="preserve">- Design and calculation for architectural,
</t>
    </r>
    <r>
      <rPr>
        <sz val="5.5"/>
        <rFont val="Arial MT"/>
        <family val="2"/>
      </rPr>
      <t>structural, and electromechanical design.</t>
    </r>
  </si>
  <si>
    <r>
      <rPr>
        <b/>
        <sz val="5.5"/>
        <rFont val="Arial"/>
        <family val="2"/>
      </rPr>
      <t>III</t>
    </r>
  </si>
  <si>
    <r>
      <rPr>
        <b/>
        <sz val="5.5"/>
        <rFont val="Arial"/>
        <family val="2"/>
      </rPr>
      <t>Các thủ tục xin phép xây dựng</t>
    </r>
  </si>
  <si>
    <r>
      <rPr>
        <b/>
        <sz val="5.5"/>
        <rFont val="Arial"/>
        <family val="2"/>
      </rPr>
      <t>Permit Documents</t>
    </r>
  </si>
  <si>
    <r>
      <rPr>
        <b/>
        <sz val="5.5"/>
        <rFont val="Arial"/>
        <family val="2"/>
      </rPr>
      <t xml:space="preserve">Lập quy hoạch 1/500
</t>
    </r>
    <r>
      <rPr>
        <sz val="5.5"/>
        <rFont val="Microsoft Sans Serif"/>
        <family val="2"/>
      </rPr>
      <t xml:space="preserve">- Tư vấn lập hồ sơ quy hoạch 1/500
</t>
    </r>
    <r>
      <rPr>
        <sz val="5.5"/>
        <rFont val="Microsoft Sans Serif"/>
        <family val="2"/>
      </rPr>
      <t xml:space="preserve">- Xin phép đấu nối hạ tầng
</t>
    </r>
    <r>
      <rPr>
        <sz val="5.5"/>
        <rFont val="Microsoft Sans Serif"/>
        <family val="2"/>
      </rPr>
      <t xml:space="preserve">-  Thiết kế Quy Hoạch 1/500
</t>
    </r>
    <r>
      <rPr>
        <sz val="5.5"/>
        <rFont val="Microsoft Sans Serif"/>
        <family val="2"/>
      </rPr>
      <t xml:space="preserve">- Nộp Quy hoạch 1/500 ở DIZA và xin chấp nhận công văn thống nhất quy hoạch ở các ban ngành </t>
    </r>
    <r>
      <rPr>
        <sz val="5.5"/>
        <rFont val="Arial MT"/>
        <family val="2"/>
      </rPr>
      <t>liên quan.</t>
    </r>
  </si>
  <si>
    <r>
      <rPr>
        <b/>
        <sz val="5.5"/>
        <rFont val="Arial"/>
        <family val="2"/>
      </rPr>
      <t xml:space="preserve">Preparing the 1/500 planning
</t>
    </r>
    <r>
      <rPr>
        <sz val="5.5"/>
        <rFont val="Arial MT"/>
        <family val="2"/>
      </rPr>
      <t xml:space="preserve">- Advising on compiling 1/500 planning application.
</t>
    </r>
    <r>
      <rPr>
        <sz val="5.5"/>
        <rFont val="Arial MT"/>
        <family val="2"/>
      </rPr>
      <t xml:space="preserve">- Infrastructure connecting permit.
</t>
    </r>
    <r>
      <rPr>
        <sz val="5.5"/>
        <rFont val="Arial MT"/>
        <family val="2"/>
      </rPr>
      <t xml:space="preserve">- Designing for 1/500 planning
</t>
    </r>
    <r>
      <rPr>
        <sz val="5.5"/>
        <rFont val="Arial MT"/>
        <family val="2"/>
      </rPr>
      <t>- Submitting the 1/500 planning to DIZA and DIZA approves</t>
    </r>
  </si>
  <si>
    <r>
      <rPr>
        <b/>
        <sz val="5.5"/>
        <rFont val="Arial"/>
        <family val="2"/>
      </rPr>
      <t xml:space="preserve">Đồ án bảo vệ môi trường (ĐTM)
</t>
    </r>
    <r>
      <rPr>
        <sz val="5.5"/>
        <rFont val="Microsoft Sans Serif"/>
        <family val="2"/>
      </rPr>
      <t xml:space="preserve">- Tư vấn lập hồ sơ cấp ĐTM. (thu thập thông tin, phân tích số liệu và đúc kết bước triển khai pháp lý môi trường
</t>
    </r>
    <r>
      <rPr>
        <sz val="5.5"/>
        <rFont val="Microsoft Sans Serif"/>
        <family val="2"/>
      </rPr>
      <t xml:space="preserve">- Lập hồ sơ ĐTM cho dự án (bao gồm: báo cáo tổng mức đầu tư dự án, Báo Cáo ĐTM và các thành phần hồ sơ liên quan)
</t>
    </r>
    <r>
      <rPr>
        <sz val="5.5"/>
        <rFont val="Microsoft Sans Serif"/>
        <family val="2"/>
      </rPr>
      <t xml:space="preserve">- NICON in bản vẽ và các tờ trình, đơn từ liên quan sau đó gửi các bên liên quan trình ký và đóng dấu
</t>
    </r>
    <r>
      <rPr>
        <sz val="5.5"/>
        <rFont val="Microsoft Sans Serif"/>
        <family val="2"/>
      </rPr>
      <t xml:space="preserve">- NICON nộp hồ sơ xin cấp phép môi trường ĐTM
</t>
    </r>
    <r>
      <rPr>
        <sz val="5.5"/>
        <rFont val="Microsoft Sans Serif"/>
        <family val="2"/>
      </rPr>
      <t>và xin chấp thuận.</t>
    </r>
  </si>
  <si>
    <r>
      <rPr>
        <b/>
        <sz val="5.5"/>
        <rFont val="Arial"/>
        <family val="2"/>
      </rPr>
      <t xml:space="preserve">Environmental protection planning
</t>
    </r>
    <r>
      <rPr>
        <sz val="5.5"/>
        <rFont val="Arial MT"/>
        <family val="2"/>
      </rPr>
      <t xml:space="preserve">- Advising on compiling EIA application. (collecting information, analyzing data and summarizing the steps to implement environmental legislation)
</t>
    </r>
    <r>
      <rPr>
        <sz val="5.5"/>
        <rFont val="Arial MT"/>
        <family val="2"/>
      </rPr>
      <t xml:space="preserve">- Compiling EIA application for the project (including: report on total project investment, EIA report and related components).
</t>
    </r>
    <r>
      <rPr>
        <sz val="5.5"/>
        <rFont val="Arial MT"/>
        <family val="2"/>
      </rPr>
      <t>- NICON submitting the EIA and  approves.</t>
    </r>
  </si>
  <si>
    <r>
      <rPr>
        <b/>
        <sz val="5.5"/>
        <rFont val="Arial"/>
        <family val="2"/>
      </rPr>
      <t xml:space="preserve">Giấy phép PCCC
</t>
    </r>
    <r>
      <rPr>
        <sz val="5.5"/>
        <rFont val="Microsoft Sans Serif"/>
        <family val="2"/>
      </rPr>
      <t xml:space="preserve">- Tư vấn lập hồ sơ thiết kế PCCC
</t>
    </r>
    <r>
      <rPr>
        <sz val="5.5"/>
        <rFont val="Microsoft Sans Serif"/>
        <family val="2"/>
      </rPr>
      <t xml:space="preserve">-  NICON tư vấn TKCS về PCCC với các nội dung sau:giao thông bãi đổ cho xe chửa cháy, khoảng cách an toàn PCCC. Bậc chịu lửa, hạng nguy hiểm cháy nổ của nhà. Mặt bằng bố trí công năng. Lối và đường thoát nạn. Giải pháp ngăn cháy, chống cháy lan, lựa chọn các hệ thống PCCC hệ thống kỹ thuật có liên quan, báo cháy - chữa cháy tự động, hệ thống thông gió chống tụ khối, phương tiện thiết bị chiếu sáng sự cố. Giải pháp cấp điện cho hệ thống PCCC có sử dụng điện, chống sét...
</t>
    </r>
    <r>
      <rPr>
        <sz val="5.5"/>
        <rFont val="Microsoft Sans Serif"/>
        <family val="2"/>
      </rPr>
      <t xml:space="preserve">- NICON cung cấp pháp nhân đóng dấu thiết kế </t>
    </r>
    <r>
      <rPr>
        <sz val="5.5"/>
        <rFont val="Arial MT"/>
        <family val="2"/>
      </rPr>
      <t xml:space="preserve">PCCC
</t>
    </r>
    <r>
      <rPr>
        <sz val="5.5"/>
        <rFont val="Microsoft Sans Serif"/>
        <family val="2"/>
      </rPr>
      <t xml:space="preserve">- NICON in bản vẽ và các tờ trình, đơn từ liên quan sau đó gửi các bên liên quan trình ký và đóng dấu
</t>
    </r>
    <r>
      <rPr>
        <sz val="5.5"/>
        <rFont val="Microsoft Sans Serif"/>
        <family val="2"/>
      </rPr>
      <t xml:space="preserve">- NICON nộp hồ sơ cấp thẩm duyệt PCCC ở cơ quan có thẩm quyền
</t>
    </r>
    <r>
      <rPr>
        <sz val="5.5"/>
        <rFont val="Microsoft Sans Serif"/>
        <family val="2"/>
      </rPr>
      <t>- Cơ quan có thẩm quyền cấp giấy phép PCCC</t>
    </r>
  </si>
  <si>
    <r>
      <rPr>
        <b/>
        <sz val="5.5"/>
        <rFont val="Arial"/>
        <family val="2"/>
      </rPr>
      <t xml:space="preserve">Fire Fighting Permit
</t>
    </r>
    <r>
      <rPr>
        <sz val="5.5"/>
        <rFont val="Arial MT"/>
        <family val="2"/>
      </rPr>
      <t xml:space="preserve">- Advising on compiling fire safety dossier
</t>
    </r>
    <r>
      <rPr>
        <sz val="5.5"/>
        <rFont val="Arial MT"/>
        <family val="2"/>
      </rPr>
      <t xml:space="preserve">- NICON consults basic design on fire protection with the following contents: traffic dumps for fire trucks, safe distances for fire fighting. Fire  resistance grade, fire and explosion hazard class of the house. Functional layout. Roads and escape routes. Solutions to prevent fire, prevent fire spread, select fire protection systems, related technical systems, automatic fire alarm - fire fighting, anti- blocking ventilation systems, emergency lighting equipment. Power supply solutions for fire protection systems using electricity, lightning protection...
</t>
    </r>
    <r>
      <rPr>
        <sz val="5.5"/>
        <rFont val="Arial MT"/>
        <family val="2"/>
      </rPr>
      <t xml:space="preserve">- NICON provides legal entity for stamps on the drawing regarding fire safety design
</t>
    </r>
    <r>
      <rPr>
        <sz val="5.5"/>
        <rFont val="Arial MT"/>
        <family val="2"/>
      </rPr>
      <t xml:space="preserve">- NICON prints drawings, related documents and forms, then sends them to relevant parties for signature and stamp.
</t>
    </r>
    <r>
      <rPr>
        <sz val="5.5"/>
        <rFont val="Arial MT"/>
        <family val="2"/>
      </rPr>
      <t xml:space="preserve">- NICON submits the application for fire protection approval to the competent authority
</t>
    </r>
    <r>
      <rPr>
        <sz val="5.5"/>
        <rFont val="Arial MT"/>
        <family val="2"/>
      </rPr>
      <t>- Competent authority to issue fire protection licenses</t>
    </r>
  </si>
  <si>
    <r>
      <rPr>
        <b/>
        <sz val="5.5"/>
        <rFont val="Arial"/>
        <family val="2"/>
      </rPr>
      <t xml:space="preserve">Giấy phép xây dựng
</t>
    </r>
    <r>
      <rPr>
        <sz val="5.5"/>
        <rFont val="Microsoft Sans Serif"/>
        <family val="2"/>
      </rPr>
      <t xml:space="preserve">-  Tư vấn lập hồ sơ thiết kế Xây Dựng (lập danh mục, tiêu chuẩn, quy chuẩn áp dụng cho thiết kế, tiêu chuẩn quy chuẩn kỹ thuật cần tuân thủ cho dự án trong đó bao gồm tiêu chuẩn xây dựng, và các tiêu chuẩn kỹ thuật chi tiết có liên quan)..
</t>
    </r>
    <r>
      <rPr>
        <sz val="5.5"/>
        <rFont val="Microsoft Sans Serif"/>
        <family val="2"/>
      </rPr>
      <t xml:space="preserve">-  NICON Lập báo cáo nghiên cứu khả thi.
</t>
    </r>
    <r>
      <rPr>
        <sz val="5.5"/>
        <rFont val="Microsoft Sans Serif"/>
        <family val="2"/>
      </rPr>
      <t xml:space="preserve">-  NICON in bản vẽ và các tờ trình, đơn từ liên quan sau đó gửi các bên liên quan trình ký và đóng dấu
</t>
    </r>
    <r>
      <rPr>
        <sz val="5.5"/>
        <rFont val="Microsoft Sans Serif"/>
        <family val="2"/>
      </rPr>
      <t xml:space="preserve">- Nộp BCNCKT ở cơ quan có thẩm quyền thẩm định BCNCKT.
</t>
    </r>
    <r>
      <rPr>
        <sz val="5.5"/>
        <rFont val="Microsoft Sans Serif"/>
        <family val="2"/>
      </rPr>
      <t xml:space="preserve">- Lập Hồ Sơ xin GPXD. (NICON  cung cấp pháp lý và pháp nhân thẩm tra thiết kế thi công
</t>
    </r>
    <r>
      <rPr>
        <sz val="5.5"/>
        <rFont val="Microsoft Sans Serif"/>
        <family val="2"/>
      </rPr>
      <t xml:space="preserve">- Ban Quản lý các KCN Đồng Nai (DIZA) cấp </t>
    </r>
    <r>
      <rPr>
        <sz val="5.5"/>
        <rFont val="Arial MT"/>
        <family val="2"/>
      </rPr>
      <t>GPXD</t>
    </r>
  </si>
  <si>
    <r>
      <rPr>
        <b/>
        <sz val="5.5"/>
        <rFont val="Arial"/>
        <family val="2"/>
      </rPr>
      <t xml:space="preserve">Construction permit
</t>
    </r>
    <r>
      <rPr>
        <sz val="5.5"/>
        <rFont val="Arial MT"/>
        <family val="2"/>
      </rPr>
      <t xml:space="preserve">- Advising on compiling Construction design application.
</t>
    </r>
    <r>
      <rPr>
        <sz val="5.5"/>
        <rFont val="Arial MT"/>
        <family val="2"/>
      </rPr>
      <t xml:space="preserve">- NICON makes a report on total project investment.
</t>
    </r>
    <r>
      <rPr>
        <sz val="5.5"/>
        <rFont val="Arial MT"/>
        <family val="2"/>
      </rPr>
      <t xml:space="preserve">- NICON prints drawings and related documents and forms, then sends them to relevant parties for signature and stamp.
</t>
    </r>
    <r>
      <rPr>
        <sz val="5.5"/>
        <rFont val="Arial MT"/>
        <family val="2"/>
      </rPr>
      <t xml:space="preserve">- Submit the feasibility report to the competent authority to evaluate the feasibility report.
</t>
    </r>
    <r>
      <rPr>
        <sz val="5.5"/>
        <rFont val="Arial MT"/>
        <family val="2"/>
      </rPr>
      <t xml:space="preserve">- Filing a construction permit application. (NICON will be responsible for providing the legislation and legal entity of the inspection unit (tier 1) for the project).
</t>
    </r>
    <r>
      <rPr>
        <sz val="5.5"/>
        <rFont val="Arial MT"/>
        <family val="2"/>
      </rPr>
      <t>- DIZA) issues construction permit.</t>
    </r>
  </si>
  <si>
    <r>
      <rPr>
        <b/>
        <sz val="5.5"/>
        <rFont val="Arial"/>
        <family val="2"/>
      </rPr>
      <t>IV</t>
    </r>
  </si>
  <si>
    <r>
      <rPr>
        <b/>
        <sz val="5.5"/>
        <rFont val="Arial"/>
        <family val="2"/>
      </rPr>
      <t>Các thủ tục sau khi hoàn thành xây dựng</t>
    </r>
  </si>
  <si>
    <r>
      <rPr>
        <b/>
        <sz val="5.5"/>
        <rFont val="Arial"/>
        <family val="2"/>
      </rPr>
      <t>Permit Documents after complete construction</t>
    </r>
  </si>
  <si>
    <r>
      <rPr>
        <b/>
        <sz val="5.5"/>
        <rFont val="Arial"/>
        <family val="2"/>
      </rPr>
      <t xml:space="preserve">Giấy phép nghiệm thu phòng cháy chữa cháy
</t>
    </r>
    <r>
      <rPr>
        <sz val="5.5"/>
        <rFont val="Microsoft Sans Serif"/>
        <family val="2"/>
      </rPr>
      <t xml:space="preserve">- Tổng thầu thi công cung cấp hồ sơ chất lượng, kiểm định thiết bị, phương tiện PCCC
</t>
    </r>
    <r>
      <rPr>
        <sz val="5.5"/>
        <rFont val="Microsoft Sans Serif"/>
        <family val="2"/>
      </rPr>
      <t xml:space="preserve">- Nicon phối hợp với nhà thầu kiểm tra hồ sơ nghiệm thu PCCC trước khi nộp cơ quan chức năng
</t>
    </r>
    <r>
      <rPr>
        <sz val="5.5"/>
        <rFont val="Microsoft Sans Serif"/>
        <family val="2"/>
      </rPr>
      <t xml:space="preserve">- NICON chuẩn bị các tờ trình, đon từ liên quan sau đó gửi các kên liên quan trình ký và đóng dấu
</t>
    </r>
    <r>
      <rPr>
        <sz val="5.5"/>
        <rFont val="Microsoft Sans Serif"/>
        <family val="2"/>
      </rPr>
      <t xml:space="preserve">- NICON nộp hồ sơ lên công an PCCC.
</t>
    </r>
    <r>
      <rPr>
        <sz val="5.5"/>
        <rFont val="Microsoft Sans Serif"/>
        <family val="2"/>
      </rPr>
      <t xml:space="preserve">- NICON nhận lịch nghiệm thu PCCC từ công an.
</t>
    </r>
    <r>
      <rPr>
        <sz val="5.5"/>
        <rFont val="Microsoft Sans Serif"/>
        <family val="2"/>
      </rPr>
      <t xml:space="preserve">- NICON thông báo đến CĐT, tổng thầu, Tư vấn giám sát PCCC tham gia nghiệm thu PCCC cùng </t>
    </r>
    <r>
      <rPr>
        <sz val="5.5"/>
        <rFont val="Arial MT"/>
        <family val="2"/>
      </rPr>
      <t xml:space="preserve">công an PCCC.
</t>
    </r>
    <r>
      <rPr>
        <sz val="5.5"/>
        <rFont val="Microsoft Sans Serif"/>
        <family val="2"/>
      </rPr>
      <t xml:space="preserve">- NICON nhận biên bản nghiệm thu PCCC từ </t>
    </r>
    <r>
      <rPr>
        <sz val="5.5"/>
        <rFont val="Arial MT"/>
        <family val="2"/>
      </rPr>
      <t>công an PCCC.</t>
    </r>
  </si>
  <si>
    <r>
      <rPr>
        <b/>
        <sz val="5.5"/>
        <rFont val="Arial"/>
        <family val="2"/>
      </rPr>
      <t xml:space="preserve">Fire prevention and fighting acceptance license
</t>
    </r>
    <r>
      <rPr>
        <sz val="5.5"/>
        <rFont val="Arial MT"/>
        <family val="2"/>
      </rPr>
      <t xml:space="preserve">- General construction contractor provides quality documents and inspects fire protection equipment and facilities
</t>
    </r>
    <r>
      <rPr>
        <sz val="5.5"/>
        <rFont val="Arial MT"/>
        <family val="2"/>
      </rPr>
      <t xml:space="preserve">- Nicon coordinates with contractors to check fire protection acceptance documents before submitting to the authorities
</t>
    </r>
    <r>
      <rPr>
        <sz val="5.5"/>
        <rFont val="Arial MT"/>
        <family val="2"/>
      </rPr>
      <t xml:space="preserve">- NICON prepares relevant reports and documents then sends them to relevant channels for signature and seal
</t>
    </r>
    <r>
      <rPr>
        <sz val="5.5"/>
        <rFont val="Arial MT"/>
        <family val="2"/>
      </rPr>
      <t xml:space="preserve">- NICON submits documents to the fire protection police.
</t>
    </r>
    <r>
      <rPr>
        <sz val="5.5"/>
        <rFont val="Arial MT"/>
        <family val="2"/>
      </rPr>
      <t xml:space="preserve">- NICON receives the fire protection acceptance schedule from the police.
</t>
    </r>
    <r>
      <rPr>
        <sz val="5.5"/>
        <rFont val="Arial MT"/>
        <family val="2"/>
      </rPr>
      <t xml:space="preserve">- NICON notifies the Investor, General Contractor, and Fire Protection Supervision Consultant to participate in fire protection acceptance with the Fire Police.
</t>
    </r>
    <r>
      <rPr>
        <sz val="5.5"/>
        <rFont val="Arial MT"/>
        <family val="2"/>
      </rPr>
      <t>- NICON receives the fire protection acceptance record from the fire protection police.</t>
    </r>
  </si>
  <si>
    <r>
      <rPr>
        <b/>
        <sz val="5.5"/>
        <rFont val="Arial"/>
        <family val="2"/>
      </rPr>
      <t xml:space="preserve">Giấy phép hoàn công công trình đưa vào sử dụng
</t>
    </r>
    <r>
      <rPr>
        <sz val="5.5"/>
        <rFont val="Microsoft Sans Serif"/>
        <family val="2"/>
      </rPr>
      <t xml:space="preserve">-  Tổng thầu tập hợp các hồ sơ hoàn công gửi cho NICON kiếm tra.
</t>
    </r>
    <r>
      <rPr>
        <sz val="5.5"/>
        <rFont val="Microsoft Sans Serif"/>
        <family val="2"/>
      </rPr>
      <t xml:space="preserve">-  NICON chuẩn bị các tờ trình, đon từ liên quan sau đó gửi các kên liên quan trình ký và đóng dấu
</t>
    </r>
    <r>
      <rPr>
        <sz val="5.5"/>
        <rFont val="Microsoft Sans Serif"/>
        <family val="2"/>
      </rPr>
      <t xml:space="preserve">- Nộp hồ sơ hoàn công lên BQLDA các khu công nghiệp Đồng Nai.
</t>
    </r>
    <r>
      <rPr>
        <sz val="5.5"/>
        <rFont val="Microsoft Sans Serif"/>
        <family val="2"/>
      </rPr>
      <t xml:space="preserve">- NICON nhận kết quả từ BQLDA và quyết định thành lập đoàn kiểm tra hoàn công từ BQLDA.
</t>
    </r>
    <r>
      <rPr>
        <sz val="5.5"/>
        <rFont val="Microsoft Sans Serif"/>
        <family val="2"/>
      </rPr>
      <t xml:space="preserve">- NICON thông báo đến CĐT, tổng thầu, Tư vấn giám sát tham gia nghiệm thu cấp giấy phép hoàn công với đoàn kiểm tra của BQLDA.
</t>
    </r>
    <r>
      <rPr>
        <sz val="5.5"/>
        <rFont val="Microsoft Sans Serif"/>
        <family val="2"/>
      </rPr>
      <t xml:space="preserve">- NICON nhận thông báo chỉnh sửa và phản hồi lại các nội dung chỉnh sửa cho tổng thầu ( nếu có)
</t>
    </r>
    <r>
      <rPr>
        <sz val="5.5"/>
        <rFont val="Microsoft Sans Serif"/>
        <family val="2"/>
      </rPr>
      <t>- NICON nhận biên bản nghiệm thu hoàn công công trình đưa vào sử dụng từ BQLDA và bàn giao cho CĐT đăng kí cập nhật vào giấy chứng nhận quyền sử dụng đất.</t>
    </r>
  </si>
  <si>
    <r>
      <rPr>
        <b/>
        <sz val="5.5"/>
        <rFont val="Arial"/>
        <family val="2"/>
      </rPr>
      <t xml:space="preserve">As - Built permit
</t>
    </r>
    <r>
      <rPr>
        <sz val="5.5"/>
        <rFont val="Arial MT"/>
        <family val="2"/>
      </rPr>
      <t xml:space="preserve">- General contractor gathers completed documents and sends them to NICON for inspection.
</t>
    </r>
    <r>
      <rPr>
        <sz val="5.5"/>
        <rFont val="Arial MT"/>
        <family val="2"/>
      </rPr>
      <t xml:space="preserve">- NICON prepares relevant reports and documents then sends them to relevant channels for signature and seal
</t>
    </r>
    <r>
      <rPr>
        <sz val="5.5"/>
        <rFont val="Arial MT"/>
        <family val="2"/>
      </rPr>
      <t xml:space="preserve">- Submit completed documents to DIZA.
</t>
    </r>
    <r>
      <rPr>
        <sz val="5.5"/>
        <rFont val="Arial MT"/>
        <family val="2"/>
      </rPr>
      <t xml:space="preserve">- NICON received the results from DIZA inspection team from the Project Management Board.
</t>
    </r>
    <r>
      <rPr>
        <sz val="5.5"/>
        <rFont val="Arial MT"/>
        <family val="2"/>
      </rPr>
      <t xml:space="preserve">- NICON notifies the Investor, General Contractor, and Supervision Consultant to participate in the acceptance and issuance of the completion permit with DIZA inspection team
</t>
    </r>
    <r>
      <rPr>
        <sz val="5.5"/>
        <rFont val="Arial MT"/>
        <family val="2"/>
      </rPr>
      <t xml:space="preserve">- NICON receives notification of corrections and responds to the corrections to the general contractor (if any)
</t>
    </r>
    <r>
      <rPr>
        <sz val="5.5"/>
        <rFont val="Arial MT"/>
        <family val="2"/>
      </rPr>
      <t>- NICON receives the acceptance record of completed construction and put it into use from DIZA and hands it over to Client to register and update the land use right certificate..</t>
    </r>
  </si>
  <si>
    <r>
      <rPr>
        <b/>
        <sz val="5.5"/>
        <rFont val="Arial"/>
        <family val="2"/>
      </rPr>
      <t>Tổng cộng (B)</t>
    </r>
  </si>
  <si>
    <r>
      <rPr>
        <b/>
        <sz val="5.5"/>
        <rFont val="Arial"/>
        <family val="2"/>
      </rPr>
      <t>Total (B)</t>
    </r>
  </si>
  <si>
    <t>Nội dung công việc</t>
  </si>
  <si>
    <t xml:space="preserve">
Stt ID</t>
  </si>
  <si>
    <t>Bể xử lý nước thải 400m3</t>
  </si>
  <si>
    <t>Wastewater treatment tank 400m3</t>
  </si>
  <si>
    <t>TP.HCM, date 17/04/2024</t>
  </si>
  <si>
    <t>No:    /2025/QUO-NICON</t>
  </si>
  <si>
    <r>
      <rPr>
        <b/>
        <sz val="5"/>
        <rFont val="Calibri"/>
        <family val="1"/>
      </rPr>
      <t xml:space="preserve">
CÔNG TY CỔ PHẦN TƯ VẤN ĐẦU TƯ XÂY DỰNG MỚI (NICON)
</t>
    </r>
    <r>
      <rPr>
        <b/>
        <i/>
        <sz val="5"/>
        <color rgb="FF006FC0"/>
        <rFont val="Calibri"/>
        <family val="1"/>
      </rPr>
      <t xml:space="preserve">NEW INVESTMENT CONSTRUCTION CONSULTANT JOINT STOCK COMPANY (NICON)
</t>
    </r>
    <r>
      <rPr>
        <sz val="5"/>
        <rFont val="Calibri"/>
        <family val="1"/>
      </rPr>
      <t xml:space="preserve">Địa chỉ: Số 80-82 Cao Đức Lân, Phường An Phú, Quận 2, TP. Hồ Chí Minh. 
</t>
    </r>
    <r>
      <rPr>
        <i/>
        <sz val="5"/>
        <color rgb="FF006FC0"/>
        <rFont val="Calibri"/>
        <family val="1"/>
      </rPr>
      <t xml:space="preserve">Address: No 80-82, Road Cao Duc Lan, An Phu Ward, District 2, Ho Chi Minh City. </t>
    </r>
    <r>
      <rPr>
        <sz val="5"/>
        <rFont val="Calibri"/>
        <family val="1"/>
      </rPr>
      <t xml:space="preserve">Điện thoại: (+84) 862814427 / </t>
    </r>
    <r>
      <rPr>
        <i/>
        <sz val="5"/>
        <color rgb="FF006FC0"/>
        <rFont val="Calibri"/>
        <family val="1"/>
      </rPr>
      <t>Tel: (+84) 862814427</t>
    </r>
  </si>
  <si>
    <t>Tổng cộng trước VAT (B+C)</t>
  </si>
  <si>
    <t>Total before VAT (B+C)</t>
  </si>
  <si>
    <t>VAT (8%)</t>
  </si>
  <si>
    <t>Tổng cộng sau thuế VAT</t>
  </si>
  <si>
    <t>Total after VAT</t>
  </si>
  <si>
    <t>C</t>
  </si>
  <si>
    <t>Giá Xin Phép cho dự án/ Cost of  Permits work for project</t>
  </si>
  <si>
    <t>free</t>
  </si>
  <si>
    <t>Survey works</t>
  </si>
  <si>
    <t>Giá khảo sát &amp; thiết kế cho dự án/ Cost of Design &amp; Survey work for project</t>
  </si>
  <si>
    <t>BÁO GIÁ THIẾT KẾ, XIN PHÉP/ ESTIMATE QUOTATION FOR DESIGN, PERMIT  WORKS</t>
  </si>
  <si>
    <t xml:space="preserve">Chủ đầu tư/ Owner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</si>
</sst>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0" x14ac:knownFonts="1">
    <font>
      <sz val="10"/>
      <color rgb="FF000000"/>
      <name val="Times New Roman"/>
      <charset val="204"/>
    </font>
    <font>
      <sz val="5.5"/>
      <name val="Arial MT"/>
    </font>
    <font>
      <b/>
      <sz val="7.5"/>
      <name val="Arial"/>
    </font>
    <font>
      <sz val="5.5"/>
      <name val="Microsoft Sans Serif"/>
    </font>
    <font>
      <b/>
      <sz val="5.5"/>
      <name val="Arial"/>
    </font>
    <font>
      <b/>
      <sz val="5.5"/>
      <color rgb="FF000000"/>
      <name val="Arial"/>
      <family val="2"/>
    </font>
    <font>
      <sz val="5.5"/>
      <color rgb="FF000000"/>
      <name val="Arial MT"/>
      <family val="2"/>
    </font>
    <font>
      <sz val="5.5"/>
      <color rgb="FF0000FF"/>
      <name val="Arial MT"/>
      <family val="2"/>
    </font>
    <font>
      <sz val="5.5"/>
      <name val="Arial MT"/>
      <family val="2"/>
    </font>
    <font>
      <b/>
      <sz val="5"/>
      <name val="Calibri"/>
      <family val="1"/>
    </font>
    <font>
      <b/>
      <i/>
      <sz val="5"/>
      <color rgb="FF006FC0"/>
      <name val="Calibri"/>
      <family val="1"/>
    </font>
    <font>
      <sz val="5"/>
      <name val="Calibri"/>
      <family val="1"/>
    </font>
    <font>
      <i/>
      <sz val="5"/>
      <color rgb="FF006FC0"/>
      <name val="Calibri"/>
      <family val="1"/>
    </font>
    <font>
      <b/>
      <sz val="7.5"/>
      <name val="Arial"/>
      <family val="2"/>
    </font>
    <font>
      <sz val="5.5"/>
      <name val="Microsoft Sans Serif"/>
      <family val="2"/>
    </font>
    <font>
      <i/>
      <sz val="5.5"/>
      <color rgb="FF808080"/>
      <name val="Arial"/>
      <family val="2"/>
    </font>
    <font>
      <b/>
      <sz val="5.5"/>
      <name val="Arial"/>
      <family val="2"/>
    </font>
    <font>
      <b/>
      <sz val="5.5"/>
      <color rgb="FFFF0000"/>
      <name val="Arial"/>
      <family val="2"/>
    </font>
    <font>
      <sz val="5"/>
      <color rgb="FF000000"/>
      <name val="Calibri"/>
      <family val="1"/>
    </font>
    <font>
      <sz val="5.5"/>
      <color rgb="FF000000"/>
      <name val="Arial"/>
      <family val="2"/>
    </font>
  </fonts>
  <fills count="7">
    <fill>
      <patternFill patternType="none"/>
    </fill>
    <fill>
      <patternFill patternType="gray125"/>
    </fill>
    <fill>
      <patternFill patternType="solid">
        <fgColor rgb="FFCCFFCC"/>
      </patternFill>
    </fill>
    <fill>
      <patternFill patternType="solid">
        <fgColor rgb="FFFFFF99"/>
      </patternFill>
    </fill>
    <fill>
      <patternFill patternType="solid">
        <fgColor rgb="FFFCE9D9"/>
      </patternFill>
    </fill>
    <fill>
      <patternFill patternType="solid">
        <fgColor rgb="FF92D050"/>
        <bgColor indexed="64"/>
      </patternFill>
    </fill>
    <fill>
      <patternFill patternType="solid">
        <fgColor rgb="FFFF0000"/>
        <bgColor indexed="64"/>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94">
    <xf numFmtId="0" fontId="0" fillId="0" borderId="0" xfId="0" applyAlignment="1">
      <alignment horizontal="left" vertical="top"/>
    </xf>
    <xf numFmtId="0" fontId="4" fillId="3" borderId="2" xfId="0" applyFont="1" applyFill="1" applyBorder="1" applyAlignment="1">
      <alignment horizontal="center" vertical="top" wrapText="1"/>
    </xf>
    <xf numFmtId="0" fontId="4" fillId="3" borderId="2" xfId="0" applyFont="1" applyFill="1" applyBorder="1" applyAlignment="1">
      <alignment horizontal="left" vertical="top" wrapText="1"/>
    </xf>
    <xf numFmtId="0" fontId="4" fillId="3" borderId="2" xfId="0" applyFont="1" applyFill="1" applyBorder="1" applyAlignment="1">
      <alignment horizontal="center" vertical="center" wrapText="1"/>
    </xf>
    <xf numFmtId="0" fontId="0" fillId="3" borderId="2" xfId="0" applyFill="1" applyBorder="1" applyAlignment="1">
      <alignment horizontal="left" vertical="top" wrapText="1" indent="1"/>
    </xf>
    <xf numFmtId="0" fontId="0" fillId="0" borderId="2" xfId="0" applyBorder="1" applyAlignment="1">
      <alignment horizontal="left"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1" fontId="6" fillId="0" borderId="2" xfId="0" applyNumberFormat="1" applyFont="1" applyBorder="1" applyAlignment="1">
      <alignment horizontal="center" vertical="top" shrinkToFit="1"/>
    </xf>
    <xf numFmtId="0" fontId="1" fillId="0" borderId="2" xfId="0" applyFont="1" applyBorder="1" applyAlignment="1">
      <alignment horizontal="left" vertical="top" wrapText="1"/>
    </xf>
    <xf numFmtId="0" fontId="1" fillId="0" borderId="2" xfId="0" applyFont="1" applyBorder="1" applyAlignment="1">
      <alignment horizontal="center" vertical="top" wrapText="1"/>
    </xf>
    <xf numFmtId="164" fontId="6" fillId="0" borderId="2" xfId="0" applyNumberFormat="1" applyFont="1" applyBorder="1" applyAlignment="1">
      <alignment horizontal="right" vertical="top" shrinkToFit="1"/>
    </xf>
    <xf numFmtId="0" fontId="4" fillId="3" borderId="2" xfId="0" applyFont="1" applyFill="1" applyBorder="1" applyAlignment="1">
      <alignment horizontal="left" vertical="top" wrapText="1" indent="5"/>
    </xf>
    <xf numFmtId="0" fontId="4" fillId="3" borderId="2" xfId="0" applyFont="1" applyFill="1" applyBorder="1" applyAlignment="1">
      <alignment horizontal="left" vertical="top" wrapText="1" indent="1"/>
    </xf>
    <xf numFmtId="0" fontId="4" fillId="3" borderId="2" xfId="0" applyFont="1" applyFill="1" applyBorder="1" applyAlignment="1">
      <alignment horizontal="left" vertical="top" wrapText="1" indent="2"/>
    </xf>
    <xf numFmtId="0" fontId="4" fillId="4" borderId="2" xfId="0" applyFont="1" applyFill="1" applyBorder="1" applyAlignment="1">
      <alignment horizontal="center" vertical="top" wrapText="1"/>
    </xf>
    <xf numFmtId="0" fontId="0" fillId="4" borderId="2" xfId="0" applyFill="1" applyBorder="1" applyAlignment="1">
      <alignment horizontal="left" wrapText="1"/>
    </xf>
    <xf numFmtId="3" fontId="5" fillId="4" borderId="2" xfId="0" applyNumberFormat="1" applyFont="1" applyFill="1" applyBorder="1" applyAlignment="1">
      <alignment horizontal="right" vertical="top" shrinkToFit="1"/>
    </xf>
    <xf numFmtId="1" fontId="6" fillId="0" borderId="2" xfId="0" applyNumberFormat="1" applyFont="1" applyBorder="1" applyAlignment="1">
      <alignment horizontal="center" vertical="center" shrinkToFit="1"/>
    </xf>
    <xf numFmtId="0" fontId="0" fillId="0" borderId="2" xfId="0" applyBorder="1" applyAlignment="1">
      <alignment horizontal="left" vertical="top" wrapText="1"/>
    </xf>
    <xf numFmtId="0" fontId="1" fillId="0" borderId="2" xfId="0" applyFont="1" applyBorder="1" applyAlignment="1">
      <alignment horizontal="center" vertical="center" wrapText="1"/>
    </xf>
    <xf numFmtId="2" fontId="6" fillId="0" borderId="2" xfId="0" applyNumberFormat="1" applyFont="1" applyBorder="1" applyAlignment="1">
      <alignment horizontal="right" vertical="center" shrinkToFit="1"/>
    </xf>
    <xf numFmtId="3" fontId="7" fillId="0" borderId="2" xfId="0" applyNumberFormat="1" applyFont="1" applyBorder="1" applyAlignment="1">
      <alignment horizontal="right" vertical="center" shrinkToFit="1"/>
    </xf>
    <xf numFmtId="0" fontId="4" fillId="0" borderId="2" xfId="0" applyFont="1" applyBorder="1" applyAlignment="1">
      <alignment horizontal="right" vertical="center" wrapText="1"/>
    </xf>
    <xf numFmtId="0" fontId="4" fillId="0" borderId="2" xfId="0" applyFont="1" applyBorder="1" applyAlignment="1">
      <alignment horizontal="center" vertical="center" wrapText="1"/>
    </xf>
    <xf numFmtId="4" fontId="6" fillId="0" borderId="2" xfId="0" applyNumberFormat="1" applyFont="1" applyBorder="1" applyAlignment="1">
      <alignment horizontal="right" vertical="center" shrinkToFit="1"/>
    </xf>
    <xf numFmtId="3" fontId="5" fillId="0" borderId="2" xfId="0" applyNumberFormat="1" applyFont="1" applyBorder="1" applyAlignment="1">
      <alignment horizontal="right" vertical="center" shrinkToFit="1"/>
    </xf>
    <xf numFmtId="0" fontId="0" fillId="4" borderId="2" xfId="0" applyFill="1" applyBorder="1" applyAlignment="1">
      <alignment horizontal="left" vertical="center" wrapText="1"/>
    </xf>
    <xf numFmtId="0" fontId="0" fillId="3" borderId="2" xfId="0" applyFill="1" applyBorder="1" applyAlignment="1">
      <alignment horizontal="left" vertical="center" wrapText="1"/>
    </xf>
    <xf numFmtId="165" fontId="5" fillId="3" borderId="2" xfId="0" applyNumberFormat="1" applyFont="1" applyFill="1" applyBorder="1" applyAlignment="1">
      <alignment horizontal="right" vertical="top" shrinkToFit="1"/>
    </xf>
    <xf numFmtId="0" fontId="4" fillId="4" borderId="2" xfId="0" applyFont="1" applyFill="1" applyBorder="1" applyAlignment="1">
      <alignment horizontal="center" vertical="center" wrapText="1"/>
    </xf>
    <xf numFmtId="3" fontId="5" fillId="4" borderId="2" xfId="0" applyNumberFormat="1" applyFont="1" applyFill="1" applyBorder="1" applyAlignment="1">
      <alignment horizontal="right" vertical="center" shrinkToFit="1"/>
    </xf>
    <xf numFmtId="0" fontId="16" fillId="3" borderId="2" xfId="0" applyFont="1" applyFill="1" applyBorder="1" applyAlignment="1">
      <alignment horizontal="left" vertical="top" wrapText="1"/>
    </xf>
    <xf numFmtId="0" fontId="4" fillId="3" borderId="2" xfId="0" applyFont="1" applyFill="1" applyBorder="1" applyAlignment="1">
      <alignment horizontal="left" vertical="center" wrapText="1"/>
    </xf>
    <xf numFmtId="0" fontId="8" fillId="0" borderId="2" xfId="0" applyFont="1" applyBorder="1" applyAlignment="1">
      <alignment horizontal="left" vertical="top" wrapText="1"/>
    </xf>
    <xf numFmtId="1" fontId="6" fillId="0" borderId="2" xfId="0" applyNumberFormat="1" applyFont="1" applyBorder="1" applyAlignment="1">
      <alignment horizontal="right" vertical="top" shrinkToFit="1"/>
    </xf>
    <xf numFmtId="3" fontId="19" fillId="0" borderId="2" xfId="0" applyNumberFormat="1" applyFont="1" applyBorder="1" applyAlignment="1">
      <alignment horizontal="right" vertical="top" shrinkToFit="1"/>
    </xf>
    <xf numFmtId="3" fontId="5" fillId="0" borderId="2" xfId="0" applyNumberFormat="1" applyFont="1" applyBorder="1" applyAlignment="1">
      <alignment horizontal="right" vertical="top" shrinkToFit="1"/>
    </xf>
    <xf numFmtId="0" fontId="16" fillId="3" borderId="2" xfId="0" applyFont="1" applyFill="1" applyBorder="1" applyAlignment="1">
      <alignment horizontal="center" vertical="top" wrapText="1"/>
    </xf>
    <xf numFmtId="0" fontId="16" fillId="5" borderId="2" xfId="0" applyFont="1" applyFill="1" applyBorder="1" applyAlignment="1">
      <alignment horizontal="center" vertical="top" wrapText="1"/>
    </xf>
    <xf numFmtId="0" fontId="0" fillId="5" borderId="2" xfId="0" applyFill="1" applyBorder="1" applyAlignment="1">
      <alignment horizontal="left" wrapText="1"/>
    </xf>
    <xf numFmtId="0" fontId="4" fillId="5" borderId="2" xfId="0" applyFont="1" applyFill="1" applyBorder="1" applyAlignment="1">
      <alignment horizontal="center" vertical="top" wrapText="1"/>
    </xf>
    <xf numFmtId="0" fontId="0" fillId="6" borderId="2" xfId="0" applyFill="1" applyBorder="1" applyAlignment="1">
      <alignment horizontal="left" vertical="center" wrapText="1"/>
    </xf>
    <xf numFmtId="0" fontId="16" fillId="6" borderId="2" xfId="0" applyFont="1" applyFill="1" applyBorder="1" applyAlignment="1">
      <alignment horizontal="center" vertical="top" wrapText="1"/>
    </xf>
    <xf numFmtId="165" fontId="5" fillId="6" borderId="2" xfId="0" applyNumberFormat="1" applyFont="1" applyFill="1" applyBorder="1" applyAlignment="1">
      <alignment horizontal="right" vertical="top" shrinkToFit="1"/>
    </xf>
    <xf numFmtId="0" fontId="16" fillId="4" borderId="2" xfId="0" applyFont="1" applyFill="1" applyBorder="1" applyAlignment="1">
      <alignment horizontal="center" vertical="top" wrapText="1"/>
    </xf>
    <xf numFmtId="0" fontId="16" fillId="3" borderId="3" xfId="0" applyFont="1" applyFill="1" applyBorder="1" applyAlignment="1">
      <alignment horizontal="center" vertical="top" wrapText="1"/>
    </xf>
    <xf numFmtId="0" fontId="4" fillId="3" borderId="5" xfId="0" applyFont="1" applyFill="1" applyBorder="1" applyAlignment="1">
      <alignment horizontal="center" vertical="top" wrapText="1"/>
    </xf>
    <xf numFmtId="0" fontId="16" fillId="6" borderId="3" xfId="0" applyFont="1" applyFill="1" applyBorder="1" applyAlignment="1">
      <alignment horizontal="center" vertical="top" wrapText="1"/>
    </xf>
    <xf numFmtId="0" fontId="4" fillId="6" borderId="5" xfId="0" applyFont="1" applyFill="1" applyBorder="1" applyAlignment="1">
      <alignment horizontal="center" vertical="top" wrapText="1"/>
    </xf>
    <xf numFmtId="0" fontId="16"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3" borderId="3" xfId="0" applyFont="1" applyFill="1" applyBorder="1" applyAlignment="1">
      <alignment horizontal="center" vertical="top" wrapText="1"/>
    </xf>
    <xf numFmtId="0" fontId="8" fillId="0" borderId="0" xfId="0" applyFont="1" applyAlignment="1">
      <alignment horizontal="left" wrapText="1" indent="1"/>
    </xf>
    <xf numFmtId="0" fontId="1" fillId="0" borderId="0" xfId="0" applyFont="1" applyAlignment="1">
      <alignment horizontal="left" wrapText="1" indent="1"/>
    </xf>
    <xf numFmtId="0" fontId="18" fillId="0" borderId="0" xfId="0" applyFont="1" applyAlignment="1">
      <alignment horizontal="left" vertical="top" wrapText="1" indent="1"/>
    </xf>
    <xf numFmtId="0" fontId="0" fillId="0" borderId="0" xfId="0" applyAlignment="1">
      <alignment horizontal="left" vertical="top" wrapText="1" indent="1"/>
    </xf>
    <xf numFmtId="0" fontId="13" fillId="0" borderId="0" xfId="0" applyFont="1" applyAlignment="1">
      <alignment horizontal="left" vertical="top" wrapText="1" indent="6"/>
    </xf>
    <xf numFmtId="0" fontId="2" fillId="0" borderId="0" xfId="0" applyFont="1" applyAlignment="1">
      <alignment horizontal="left" vertical="top" wrapText="1" indent="6"/>
    </xf>
    <xf numFmtId="0" fontId="8" fillId="0" borderId="1" xfId="0" applyFont="1" applyBorder="1" applyAlignment="1">
      <alignment horizontal="right" vertical="top" wrapText="1"/>
    </xf>
    <xf numFmtId="0" fontId="1" fillId="0" borderId="1" xfId="0" applyFont="1" applyBorder="1" applyAlignment="1">
      <alignment horizontal="righ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14" fillId="2" borderId="3" xfId="0" applyFont="1" applyFill="1" applyBorder="1" applyAlignment="1">
      <alignment horizontal="left" vertical="top" wrapText="1"/>
    </xf>
    <xf numFmtId="0" fontId="0" fillId="0" borderId="1" xfId="0" applyBorder="1" applyAlignment="1">
      <alignment horizontal="left" vertical="top" wrapText="1"/>
    </xf>
    <xf numFmtId="0" fontId="4" fillId="5" borderId="3" xfId="0" applyFont="1" applyFill="1" applyBorder="1" applyAlignment="1">
      <alignment horizontal="left" vertical="top" wrapText="1"/>
    </xf>
    <xf numFmtId="0" fontId="0" fillId="5" borderId="3" xfId="0" applyFill="1" applyBorder="1" applyAlignment="1">
      <alignment horizontal="left" wrapText="1"/>
    </xf>
    <xf numFmtId="0" fontId="0" fillId="5" borderId="5" xfId="0" applyFill="1" applyBorder="1" applyAlignment="1">
      <alignment horizontal="left" wrapText="1"/>
    </xf>
    <xf numFmtId="0" fontId="4" fillId="3" borderId="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14" fillId="0" borderId="3" xfId="0" applyFont="1" applyBorder="1" applyAlignment="1">
      <alignment horizontal="left" vertical="top"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4" fillId="3" borderId="3" xfId="0" applyFont="1" applyFill="1" applyBorder="1" applyAlignment="1">
      <alignment horizontal="left" vertical="top" wrapText="1" indent="5"/>
    </xf>
    <xf numFmtId="0" fontId="4" fillId="3" borderId="5" xfId="0" applyFont="1" applyFill="1" applyBorder="1" applyAlignment="1">
      <alignment horizontal="left" vertical="top" wrapText="1" indent="5"/>
    </xf>
    <xf numFmtId="0" fontId="4" fillId="4" borderId="3" xfId="0" applyFont="1" applyFill="1" applyBorder="1" applyAlignment="1">
      <alignment horizontal="left" vertical="top" wrapText="1" indent="5"/>
    </xf>
    <xf numFmtId="0" fontId="4" fillId="4" borderId="5" xfId="0" applyFont="1" applyFill="1" applyBorder="1" applyAlignment="1">
      <alignment horizontal="left" vertical="top" wrapText="1" indent="5"/>
    </xf>
    <xf numFmtId="0" fontId="4" fillId="4" borderId="3" xfId="0" applyFont="1" applyFill="1" applyBorder="1" applyAlignment="1">
      <alignment horizontal="left" vertical="center" wrapText="1"/>
    </xf>
    <xf numFmtId="0" fontId="4" fillId="4" borderId="5" xfId="0" applyFont="1" applyFill="1" applyBorder="1" applyAlignment="1">
      <alignment horizontal="left" vertical="center"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16"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3" xfId="0" applyFont="1" applyFill="1" applyBorder="1" applyAlignment="1">
      <alignment horizontal="center" vertical="top" wrapText="1"/>
    </xf>
    <xf numFmtId="0" fontId="4" fillId="4" borderId="5"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645772</xdr:colOff>
      <xdr:row>0</xdr:row>
      <xdr:rowOff>21980</xdr:rowOff>
    </xdr:from>
    <xdr:ext cx="820127" cy="448585"/>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06907" y="21980"/>
          <a:ext cx="820127" cy="448585"/>
        </a:xfrm>
        <a:prstGeom prst="rect">
          <a:avLst/>
        </a:prstGeom>
      </xdr:spPr>
    </xdr:pic>
    <xdr:clientData/>
  </xdr:oneCellAnchor>
  <xdr:oneCellAnchor>
    <xdr:from>
      <xdr:col>0</xdr:col>
      <xdr:colOff>76382</xdr:colOff>
      <xdr:row>0</xdr:row>
      <xdr:rowOff>43961</xdr:rowOff>
    </xdr:from>
    <xdr:ext cx="896721" cy="368688"/>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382" y="43961"/>
          <a:ext cx="896721" cy="36868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abSelected="1" view="pageBreakPreview" topLeftCell="A25" zoomScale="130" zoomScaleNormal="145" zoomScaleSheetLayoutView="130" workbookViewId="0">
      <selection activeCell="B31" sqref="B31:C31"/>
    </sheetView>
  </sheetViews>
  <sheetFormatPr defaultRowHeight="12.75" x14ac:dyDescent="0.2"/>
  <cols>
    <col min="1" max="1" width="4" customWidth="1"/>
    <col min="2" max="2" width="14.6640625" customWidth="1"/>
    <col min="3" max="3" width="16.1640625" customWidth="1"/>
    <col min="4" max="4" width="31.5" customWidth="1"/>
    <col min="5" max="5" width="5.83203125" customWidth="1"/>
    <col min="6" max="6" width="10.83203125" customWidth="1"/>
    <col min="7" max="7" width="14.1640625" customWidth="1"/>
    <col min="8" max="8" width="16" customWidth="1"/>
    <col min="9" max="9" width="10.1640625" customWidth="1"/>
    <col min="10" max="10" width="2.6640625" customWidth="1"/>
    <col min="11" max="11" width="16.5" customWidth="1"/>
  </cols>
  <sheetData>
    <row r="1" spans="1:10" ht="49.5" customHeight="1" x14ac:dyDescent="0.15">
      <c r="A1" s="54" t="s">
        <v>91</v>
      </c>
      <c r="B1" s="55"/>
      <c r="C1" s="56" t="s">
        <v>92</v>
      </c>
      <c r="D1" s="57"/>
      <c r="E1" s="57"/>
      <c r="F1" s="57"/>
      <c r="G1" s="57"/>
      <c r="H1" s="57"/>
      <c r="I1" s="57"/>
      <c r="J1" s="57"/>
    </row>
    <row r="2" spans="1:10" ht="10.35" customHeight="1" x14ac:dyDescent="0.2">
      <c r="A2" s="58" t="s">
        <v>103</v>
      </c>
      <c r="B2" s="59"/>
      <c r="C2" s="59"/>
      <c r="D2" s="59"/>
      <c r="E2" s="59"/>
      <c r="F2" s="59"/>
      <c r="G2" s="59"/>
      <c r="H2" s="59"/>
      <c r="I2" s="59"/>
    </row>
    <row r="3" spans="1:10" ht="9.1999999999999993" customHeight="1" x14ac:dyDescent="0.2">
      <c r="A3" s="60" t="s">
        <v>90</v>
      </c>
      <c r="B3" s="61"/>
      <c r="C3" s="61"/>
      <c r="D3" s="61"/>
      <c r="E3" s="61"/>
      <c r="F3" s="61"/>
      <c r="G3" s="61"/>
      <c r="H3" s="61"/>
      <c r="I3" s="61"/>
    </row>
    <row r="4" spans="1:10" ht="9.1999999999999993" customHeight="1" x14ac:dyDescent="0.2">
      <c r="A4" s="62" t="s">
        <v>0</v>
      </c>
      <c r="B4" s="63"/>
      <c r="C4" s="63"/>
      <c r="D4" s="63"/>
      <c r="E4" s="63"/>
      <c r="F4" s="63"/>
      <c r="G4" s="63"/>
      <c r="H4" s="63"/>
      <c r="I4" s="64"/>
    </row>
    <row r="5" spans="1:10" ht="9.1999999999999993" customHeight="1" x14ac:dyDescent="0.2">
      <c r="A5" s="65" t="s">
        <v>104</v>
      </c>
      <c r="B5" s="63"/>
      <c r="C5" s="63"/>
      <c r="D5" s="63"/>
      <c r="E5" s="63"/>
      <c r="F5" s="63"/>
      <c r="G5" s="63"/>
      <c r="H5" s="63"/>
      <c r="I5" s="64"/>
    </row>
    <row r="6" spans="1:10" ht="9.1999999999999993" customHeight="1" x14ac:dyDescent="0.2">
      <c r="A6" s="62" t="s">
        <v>1</v>
      </c>
      <c r="B6" s="63"/>
      <c r="C6" s="63"/>
      <c r="D6" s="63"/>
      <c r="E6" s="63"/>
      <c r="F6" s="63"/>
      <c r="G6" s="63"/>
      <c r="H6" s="63"/>
      <c r="I6" s="64"/>
    </row>
    <row r="7" spans="1:10" ht="9.1999999999999993" customHeight="1" x14ac:dyDescent="0.2">
      <c r="A7" s="62" t="s">
        <v>2</v>
      </c>
      <c r="B7" s="63"/>
      <c r="C7" s="63"/>
      <c r="D7" s="63"/>
      <c r="E7" s="63"/>
      <c r="F7" s="63"/>
      <c r="G7" s="63"/>
      <c r="H7" s="63"/>
      <c r="I7" s="64"/>
    </row>
    <row r="8" spans="1:10" ht="16.5" customHeight="1" x14ac:dyDescent="0.2">
      <c r="A8" s="66" t="s">
        <v>3</v>
      </c>
      <c r="B8" s="66"/>
      <c r="C8" s="66"/>
      <c r="D8" s="66"/>
      <c r="E8" s="66"/>
      <c r="F8" s="66"/>
      <c r="G8" s="66"/>
      <c r="H8" s="66"/>
      <c r="I8" s="66"/>
    </row>
    <row r="9" spans="1:10" ht="11.85" customHeight="1" x14ac:dyDescent="0.2">
      <c r="A9" s="41" t="s">
        <v>4</v>
      </c>
      <c r="B9" s="67" t="s">
        <v>5</v>
      </c>
      <c r="C9" s="52"/>
      <c r="D9" s="40"/>
      <c r="E9" s="40"/>
      <c r="F9" s="40"/>
      <c r="G9" s="40"/>
      <c r="H9" s="68"/>
      <c r="I9" s="69"/>
    </row>
    <row r="10" spans="1:10" ht="31.5" customHeight="1" x14ac:dyDescent="0.2">
      <c r="A10" s="32" t="s">
        <v>87</v>
      </c>
      <c r="B10" s="70" t="s">
        <v>7</v>
      </c>
      <c r="C10" s="71"/>
      <c r="D10" s="3" t="s">
        <v>8</v>
      </c>
      <c r="E10" s="2" t="s">
        <v>9</v>
      </c>
      <c r="F10" s="4" t="s">
        <v>10</v>
      </c>
      <c r="G10" s="1" t="s">
        <v>11</v>
      </c>
      <c r="H10" s="2" t="s">
        <v>12</v>
      </c>
      <c r="I10" s="2" t="s">
        <v>13</v>
      </c>
    </row>
    <row r="11" spans="1:10" ht="11.25" customHeight="1" x14ac:dyDescent="0.2">
      <c r="A11" s="5"/>
      <c r="B11" s="72" t="s">
        <v>14</v>
      </c>
      <c r="C11" s="73"/>
      <c r="D11" s="6" t="s">
        <v>15</v>
      </c>
      <c r="E11" s="7" t="s">
        <v>16</v>
      </c>
      <c r="F11" s="37">
        <v>53658</v>
      </c>
      <c r="G11" s="5"/>
      <c r="H11" s="5"/>
      <c r="I11" s="5"/>
    </row>
    <row r="12" spans="1:10" ht="11.25" customHeight="1" x14ac:dyDescent="0.2">
      <c r="A12" s="5"/>
      <c r="B12" s="72" t="s">
        <v>17</v>
      </c>
      <c r="C12" s="73"/>
      <c r="D12" s="6" t="s">
        <v>18</v>
      </c>
      <c r="E12" s="7" t="s">
        <v>16</v>
      </c>
      <c r="F12" s="37">
        <v>31890.94125</v>
      </c>
      <c r="G12" s="36">
        <v>31890.94125</v>
      </c>
      <c r="H12" s="5"/>
      <c r="I12" s="5"/>
    </row>
    <row r="13" spans="1:10" ht="11.25" customHeight="1" x14ac:dyDescent="0.2">
      <c r="A13" s="8">
        <v>1</v>
      </c>
      <c r="B13" s="74" t="s">
        <v>19</v>
      </c>
      <c r="C13" s="75"/>
      <c r="D13" s="9" t="s">
        <v>20</v>
      </c>
      <c r="E13" s="10" t="s">
        <v>21</v>
      </c>
      <c r="F13" s="36">
        <v>13231.574999999999</v>
      </c>
      <c r="G13" s="36">
        <v>13231.574999999999</v>
      </c>
      <c r="H13" s="5"/>
      <c r="I13" s="11">
        <v>12.5</v>
      </c>
    </row>
    <row r="14" spans="1:10" ht="11.25" customHeight="1" x14ac:dyDescent="0.2">
      <c r="A14" s="8">
        <v>2</v>
      </c>
      <c r="B14" s="74" t="s">
        <v>22</v>
      </c>
      <c r="C14" s="75"/>
      <c r="D14" s="9" t="s">
        <v>23</v>
      </c>
      <c r="E14" s="10" t="s">
        <v>21</v>
      </c>
      <c r="F14" s="36">
        <v>13231.574999999999</v>
      </c>
      <c r="G14" s="36">
        <v>13231.574999999999</v>
      </c>
      <c r="H14" s="5"/>
      <c r="I14" s="11">
        <v>12.5</v>
      </c>
    </row>
    <row r="15" spans="1:10" ht="11.25" customHeight="1" x14ac:dyDescent="0.2">
      <c r="A15" s="8">
        <v>3</v>
      </c>
      <c r="B15" s="74" t="s">
        <v>24</v>
      </c>
      <c r="C15" s="75"/>
      <c r="D15" s="9" t="s">
        <v>25</v>
      </c>
      <c r="E15" s="10" t="s">
        <v>21</v>
      </c>
      <c r="F15" s="36">
        <v>1483.7250000000001</v>
      </c>
      <c r="G15" s="36">
        <v>1483.7250000000001</v>
      </c>
      <c r="H15" s="5"/>
      <c r="I15" s="11">
        <v>12.5</v>
      </c>
    </row>
    <row r="16" spans="1:10" ht="11.25" customHeight="1" x14ac:dyDescent="0.2">
      <c r="A16" s="8">
        <v>4</v>
      </c>
      <c r="B16" s="74" t="s">
        <v>26</v>
      </c>
      <c r="C16" s="75"/>
      <c r="D16" s="9" t="s">
        <v>27</v>
      </c>
      <c r="E16" s="10" t="s">
        <v>21</v>
      </c>
      <c r="F16" s="36">
        <v>1626</v>
      </c>
      <c r="G16" s="36">
        <v>1626</v>
      </c>
      <c r="H16" s="5"/>
      <c r="I16" s="11">
        <v>9.5</v>
      </c>
    </row>
    <row r="17" spans="1:9" ht="11.25" customHeight="1" x14ac:dyDescent="0.2">
      <c r="A17" s="8">
        <v>5</v>
      </c>
      <c r="B17" s="74" t="s">
        <v>28</v>
      </c>
      <c r="C17" s="75"/>
      <c r="D17" s="9" t="s">
        <v>29</v>
      </c>
      <c r="E17" s="10" t="s">
        <v>21</v>
      </c>
      <c r="F17" s="36">
        <v>121.94999999999999</v>
      </c>
      <c r="G17" s="36">
        <v>121.94999999999999</v>
      </c>
      <c r="H17" s="5"/>
      <c r="I17" s="11">
        <v>3.6</v>
      </c>
    </row>
    <row r="18" spans="1:9" ht="11.25" customHeight="1" x14ac:dyDescent="0.2">
      <c r="A18" s="8">
        <v>6</v>
      </c>
      <c r="B18" s="74" t="s">
        <v>30</v>
      </c>
      <c r="C18" s="75"/>
      <c r="D18" s="9" t="s">
        <v>31</v>
      </c>
      <c r="E18" s="10" t="s">
        <v>21</v>
      </c>
      <c r="F18" s="36">
        <v>1166.655</v>
      </c>
      <c r="G18" s="36">
        <v>1166.655</v>
      </c>
      <c r="H18" s="5"/>
      <c r="I18" s="11">
        <v>9.5</v>
      </c>
    </row>
    <row r="19" spans="1:9" ht="11.25" customHeight="1" x14ac:dyDescent="0.2">
      <c r="A19" s="8">
        <v>7</v>
      </c>
      <c r="B19" s="74" t="s">
        <v>32</v>
      </c>
      <c r="C19" s="75"/>
      <c r="D19" s="9" t="s">
        <v>33</v>
      </c>
      <c r="E19" s="10" t="s">
        <v>21</v>
      </c>
      <c r="F19" s="36">
        <v>1029.4612499999998</v>
      </c>
      <c r="G19" s="36">
        <v>1029.4612499999998</v>
      </c>
      <c r="H19" s="5"/>
      <c r="I19" s="11">
        <v>4.5</v>
      </c>
    </row>
    <row r="20" spans="1:9" ht="11.25" customHeight="1" x14ac:dyDescent="0.2">
      <c r="A20" s="8">
        <v>8</v>
      </c>
      <c r="B20" s="74" t="s">
        <v>34</v>
      </c>
      <c r="C20" s="75"/>
      <c r="D20" s="9" t="s">
        <v>35</v>
      </c>
      <c r="E20" s="10" t="s">
        <v>21</v>
      </c>
      <c r="F20" s="36">
        <v>213.41249999999997</v>
      </c>
      <c r="G20" s="5"/>
      <c r="H20" s="35">
        <v>213.41249999999997</v>
      </c>
      <c r="I20" s="5"/>
    </row>
    <row r="21" spans="1:9" ht="11.25" customHeight="1" x14ac:dyDescent="0.2">
      <c r="A21" s="8">
        <v>9</v>
      </c>
      <c r="B21" s="74" t="s">
        <v>36</v>
      </c>
      <c r="C21" s="75"/>
      <c r="D21" s="9" t="s">
        <v>37</v>
      </c>
      <c r="E21" s="10" t="s">
        <v>21</v>
      </c>
      <c r="F21" s="36">
        <v>213.41249999999997</v>
      </c>
      <c r="G21" s="5"/>
      <c r="H21" s="35">
        <v>213.41249999999997</v>
      </c>
      <c r="I21" s="5"/>
    </row>
    <row r="22" spans="1:9" ht="11.25" customHeight="1" x14ac:dyDescent="0.2">
      <c r="A22" s="8">
        <v>10</v>
      </c>
      <c r="B22" s="74" t="s">
        <v>38</v>
      </c>
      <c r="C22" s="75"/>
      <c r="D22" s="9" t="s">
        <v>39</v>
      </c>
      <c r="E22" s="10" t="s">
        <v>21</v>
      </c>
      <c r="F22" s="36">
        <v>10669.608750000001</v>
      </c>
      <c r="G22" s="5"/>
      <c r="H22" s="35">
        <v>10669.608750000001</v>
      </c>
      <c r="I22" s="5"/>
    </row>
    <row r="23" spans="1:9" ht="11.25" customHeight="1" x14ac:dyDescent="0.2">
      <c r="A23" s="8">
        <v>11</v>
      </c>
      <c r="B23" s="74" t="s">
        <v>40</v>
      </c>
      <c r="C23" s="75"/>
      <c r="D23" s="9" t="s">
        <v>41</v>
      </c>
      <c r="E23" s="10" t="s">
        <v>21</v>
      </c>
      <c r="F23" s="36">
        <v>10670.625</v>
      </c>
      <c r="G23" s="5"/>
      <c r="H23" s="35">
        <v>10670.625</v>
      </c>
      <c r="I23" s="5"/>
    </row>
    <row r="24" spans="1:9" ht="11.25" customHeight="1" x14ac:dyDescent="0.2">
      <c r="A24" s="8">
        <v>12</v>
      </c>
      <c r="B24" s="76" t="s">
        <v>88</v>
      </c>
      <c r="C24" s="75"/>
      <c r="D24" s="34" t="s">
        <v>89</v>
      </c>
      <c r="E24" s="5"/>
      <c r="F24" s="5"/>
      <c r="G24" s="5"/>
      <c r="H24" s="5"/>
      <c r="I24" s="5"/>
    </row>
    <row r="25" spans="1:9" ht="11.1" customHeight="1" x14ac:dyDescent="0.2">
      <c r="A25" s="8">
        <v>13</v>
      </c>
      <c r="B25" s="74" t="s">
        <v>42</v>
      </c>
      <c r="C25" s="75"/>
      <c r="D25" s="9" t="s">
        <v>43</v>
      </c>
      <c r="E25" s="5"/>
      <c r="F25" s="5"/>
      <c r="G25" s="5"/>
      <c r="H25" s="5"/>
      <c r="I25" s="5"/>
    </row>
    <row r="26" spans="1:9" ht="9.1999999999999993" customHeight="1" x14ac:dyDescent="0.2">
      <c r="A26" s="77"/>
      <c r="B26" s="78"/>
      <c r="C26" s="78"/>
      <c r="D26" s="78"/>
      <c r="E26" s="78"/>
      <c r="F26" s="78"/>
      <c r="G26" s="78"/>
      <c r="H26" s="78"/>
      <c r="I26" s="79"/>
    </row>
    <row r="27" spans="1:9" ht="11.85" customHeight="1" x14ac:dyDescent="0.2">
      <c r="A27" s="41" t="s">
        <v>44</v>
      </c>
      <c r="B27" s="50" t="s">
        <v>102</v>
      </c>
      <c r="C27" s="51"/>
      <c r="D27" s="52"/>
      <c r="E27" s="40"/>
      <c r="F27" s="40"/>
      <c r="G27" s="40"/>
      <c r="H27" s="40"/>
      <c r="I27" s="40"/>
    </row>
    <row r="28" spans="1:9" ht="22.5" customHeight="1" x14ac:dyDescent="0.2">
      <c r="A28" s="2" t="s">
        <v>6</v>
      </c>
      <c r="B28" s="80" t="s">
        <v>45</v>
      </c>
      <c r="C28" s="81"/>
      <c r="D28" s="12" t="s">
        <v>46</v>
      </c>
      <c r="E28" s="2" t="s">
        <v>47</v>
      </c>
      <c r="F28" s="13" t="s">
        <v>48</v>
      </c>
      <c r="G28" s="14" t="s">
        <v>49</v>
      </c>
      <c r="H28" s="13" t="s">
        <v>50</v>
      </c>
      <c r="I28" s="13" t="s">
        <v>51</v>
      </c>
    </row>
    <row r="29" spans="1:9" ht="16.5" customHeight="1" x14ac:dyDescent="0.2">
      <c r="A29" s="15" t="s">
        <v>52</v>
      </c>
      <c r="B29" s="82" t="s">
        <v>53</v>
      </c>
      <c r="C29" s="83"/>
      <c r="D29" s="45" t="s">
        <v>101</v>
      </c>
      <c r="E29" s="16"/>
      <c r="F29" s="16"/>
      <c r="G29" s="16"/>
      <c r="H29" s="17" t="s">
        <v>100</v>
      </c>
      <c r="I29" s="16"/>
    </row>
    <row r="30" spans="1:9" ht="15.75" customHeight="1" x14ac:dyDescent="0.2">
      <c r="A30" s="30" t="s">
        <v>54</v>
      </c>
      <c r="B30" s="84" t="s">
        <v>55</v>
      </c>
      <c r="C30" s="85"/>
      <c r="D30" s="30" t="s">
        <v>56</v>
      </c>
      <c r="E30" s="27"/>
      <c r="F30" s="27"/>
      <c r="G30" s="27"/>
      <c r="H30" s="31">
        <f>SUBTOTAL(9,H31:H33)</f>
        <v>0</v>
      </c>
      <c r="I30" s="27"/>
    </row>
    <row r="31" spans="1:9" ht="44.25" customHeight="1" x14ac:dyDescent="0.2">
      <c r="A31" s="18">
        <v>1</v>
      </c>
      <c r="B31" s="86" t="s">
        <v>57</v>
      </c>
      <c r="C31" s="87"/>
      <c r="D31" s="19" t="s">
        <v>58</v>
      </c>
      <c r="E31" s="20" t="s">
        <v>59</v>
      </c>
      <c r="F31" s="21">
        <v>1</v>
      </c>
      <c r="G31" s="19"/>
      <c r="H31" s="23" t="s">
        <v>60</v>
      </c>
      <c r="I31" s="24" t="s">
        <v>61</v>
      </c>
    </row>
    <row r="32" spans="1:9" ht="193.5" customHeight="1" x14ac:dyDescent="0.2">
      <c r="A32" s="18">
        <v>2</v>
      </c>
      <c r="B32" s="86" t="s">
        <v>62</v>
      </c>
      <c r="C32" s="87"/>
      <c r="D32" s="19" t="s">
        <v>63</v>
      </c>
      <c r="E32" s="20" t="s">
        <v>21</v>
      </c>
      <c r="F32" s="25">
        <v>31890.94125</v>
      </c>
      <c r="G32" s="22"/>
      <c r="H32" s="26">
        <f>G32*F32</f>
        <v>0</v>
      </c>
      <c r="I32" s="19"/>
    </row>
    <row r="33" spans="1:9" ht="127.5" customHeight="1" x14ac:dyDescent="0.2">
      <c r="A33" s="18">
        <v>3</v>
      </c>
      <c r="B33" s="86" t="s">
        <v>64</v>
      </c>
      <c r="C33" s="87"/>
      <c r="D33" s="19" t="s">
        <v>65</v>
      </c>
      <c r="E33" s="20" t="s">
        <v>21</v>
      </c>
      <c r="F33" s="25">
        <v>31890.94125</v>
      </c>
      <c r="G33" s="22"/>
      <c r="H33" s="26">
        <f>G33*F33</f>
        <v>0</v>
      </c>
      <c r="I33" s="19"/>
    </row>
    <row r="34" spans="1:9" ht="12.95" customHeight="1" x14ac:dyDescent="0.2">
      <c r="A34" s="28"/>
      <c r="B34" s="53" t="s">
        <v>84</v>
      </c>
      <c r="C34" s="47"/>
      <c r="D34" s="1" t="s">
        <v>85</v>
      </c>
      <c r="E34" s="28"/>
      <c r="F34" s="28"/>
      <c r="G34" s="28"/>
      <c r="H34" s="29">
        <f>SUBTOTAL(9,H29:H33)</f>
        <v>0</v>
      </c>
      <c r="I34" s="28"/>
    </row>
    <row r="35" spans="1:9" ht="11.85" customHeight="1" x14ac:dyDescent="0.2">
      <c r="A35" s="39" t="s">
        <v>98</v>
      </c>
      <c r="B35" s="50" t="s">
        <v>99</v>
      </c>
      <c r="C35" s="51"/>
      <c r="D35" s="52"/>
      <c r="E35" s="40"/>
      <c r="F35" s="40"/>
      <c r="G35" s="40"/>
      <c r="H35" s="40"/>
      <c r="I35" s="40"/>
    </row>
    <row r="36" spans="1:9" ht="22.5" customHeight="1" x14ac:dyDescent="0.2">
      <c r="A36" s="33" t="s">
        <v>6</v>
      </c>
      <c r="B36" s="88" t="s">
        <v>86</v>
      </c>
      <c r="C36" s="89"/>
      <c r="D36" s="3" t="s">
        <v>46</v>
      </c>
      <c r="E36" s="33" t="s">
        <v>47</v>
      </c>
      <c r="F36" s="33" t="s">
        <v>48</v>
      </c>
      <c r="G36" s="33" t="s">
        <v>49</v>
      </c>
      <c r="H36" s="33" t="s">
        <v>50</v>
      </c>
      <c r="I36" s="33" t="s">
        <v>51</v>
      </c>
    </row>
    <row r="37" spans="1:9" ht="20.25" customHeight="1" x14ac:dyDescent="0.2">
      <c r="A37" s="30" t="s">
        <v>66</v>
      </c>
      <c r="B37" s="90" t="s">
        <v>67</v>
      </c>
      <c r="C37" s="91"/>
      <c r="D37" s="30" t="s">
        <v>68</v>
      </c>
      <c r="E37" s="27"/>
      <c r="F37" s="27"/>
      <c r="G37" s="27"/>
      <c r="H37" s="31">
        <f>SUBTOTAL(9,H38:H41)</f>
        <v>0</v>
      </c>
      <c r="I37" s="27"/>
    </row>
    <row r="38" spans="1:9" ht="53.25" customHeight="1" x14ac:dyDescent="0.2">
      <c r="A38" s="18">
        <v>1</v>
      </c>
      <c r="B38" s="86" t="s">
        <v>69</v>
      </c>
      <c r="C38" s="87"/>
      <c r="D38" s="19" t="s">
        <v>70</v>
      </c>
      <c r="E38" s="20" t="s">
        <v>59</v>
      </c>
      <c r="F38" s="21">
        <v>1</v>
      </c>
      <c r="G38" s="22"/>
      <c r="H38" s="26">
        <f>G38*F38</f>
        <v>0</v>
      </c>
      <c r="I38" s="19"/>
    </row>
    <row r="39" spans="1:9" ht="84" customHeight="1" x14ac:dyDescent="0.2">
      <c r="A39" s="18">
        <v>2</v>
      </c>
      <c r="B39" s="86" t="s">
        <v>71</v>
      </c>
      <c r="C39" s="87"/>
      <c r="D39" s="19" t="s">
        <v>72</v>
      </c>
      <c r="E39" s="20" t="s">
        <v>59</v>
      </c>
      <c r="F39" s="21">
        <v>1</v>
      </c>
      <c r="G39" s="22"/>
      <c r="H39" s="26">
        <f>G39*F39</f>
        <v>0</v>
      </c>
      <c r="I39" s="19"/>
    </row>
    <row r="40" spans="1:9" ht="178.5" customHeight="1" x14ac:dyDescent="0.2">
      <c r="A40" s="18">
        <v>3</v>
      </c>
      <c r="B40" s="86" t="s">
        <v>73</v>
      </c>
      <c r="C40" s="87"/>
      <c r="D40" s="19" t="s">
        <v>74</v>
      </c>
      <c r="E40" s="20" t="s">
        <v>59</v>
      </c>
      <c r="F40" s="21">
        <v>1</v>
      </c>
      <c r="G40" s="22"/>
      <c r="H40" s="26">
        <f>G40*F40</f>
        <v>0</v>
      </c>
      <c r="I40" s="19"/>
    </row>
    <row r="41" spans="1:9" ht="119.1" customHeight="1" x14ac:dyDescent="0.2">
      <c r="A41" s="18">
        <v>4</v>
      </c>
      <c r="B41" s="86" t="s">
        <v>75</v>
      </c>
      <c r="C41" s="87"/>
      <c r="D41" s="19" t="s">
        <v>76</v>
      </c>
      <c r="E41" s="20" t="s">
        <v>59</v>
      </c>
      <c r="F41" s="21">
        <v>1</v>
      </c>
      <c r="G41" s="22"/>
      <c r="H41" s="26">
        <f>G41*F41</f>
        <v>0</v>
      </c>
      <c r="I41" s="19"/>
    </row>
    <row r="42" spans="1:9" ht="20.25" customHeight="1" x14ac:dyDescent="0.2">
      <c r="A42" s="15" t="s">
        <v>77</v>
      </c>
      <c r="B42" s="92" t="s">
        <v>78</v>
      </c>
      <c r="C42" s="93"/>
      <c r="D42" s="15" t="s">
        <v>79</v>
      </c>
      <c r="E42" s="27"/>
      <c r="F42" s="27"/>
      <c r="G42" s="27"/>
      <c r="H42" s="17">
        <f>SUBTOTAL(9,H43:H44)</f>
        <v>0</v>
      </c>
      <c r="I42" s="27"/>
    </row>
    <row r="43" spans="1:9" ht="147.19999999999999" customHeight="1" x14ac:dyDescent="0.2">
      <c r="A43" s="18">
        <v>1</v>
      </c>
      <c r="B43" s="86" t="s">
        <v>80</v>
      </c>
      <c r="C43" s="87"/>
      <c r="D43" s="19" t="s">
        <v>81</v>
      </c>
      <c r="E43" s="20" t="s">
        <v>59</v>
      </c>
      <c r="F43" s="21">
        <v>1</v>
      </c>
      <c r="G43" s="22"/>
      <c r="H43" s="26">
        <f>G43*F43</f>
        <v>0</v>
      </c>
      <c r="I43" s="19"/>
    </row>
    <row r="44" spans="1:9" ht="239.25" customHeight="1" x14ac:dyDescent="0.2">
      <c r="A44" s="18">
        <v>4</v>
      </c>
      <c r="B44" s="86" t="s">
        <v>82</v>
      </c>
      <c r="C44" s="87"/>
      <c r="D44" s="19" t="s">
        <v>83</v>
      </c>
      <c r="E44" s="20" t="s">
        <v>59</v>
      </c>
      <c r="F44" s="21">
        <v>1</v>
      </c>
      <c r="G44" s="22"/>
      <c r="H44" s="26">
        <f>G44*F44</f>
        <v>0</v>
      </c>
      <c r="I44" s="19"/>
    </row>
    <row r="45" spans="1:9" ht="12.95" customHeight="1" x14ac:dyDescent="0.2">
      <c r="A45" s="28"/>
      <c r="B45" s="53" t="s">
        <v>84</v>
      </c>
      <c r="C45" s="47"/>
      <c r="D45" s="1" t="s">
        <v>85</v>
      </c>
      <c r="E45" s="28"/>
      <c r="F45" s="28"/>
      <c r="G45" s="28"/>
      <c r="H45" s="29">
        <f>SUBTOTAL(9,H37:H44)</f>
        <v>0</v>
      </c>
      <c r="I45" s="28"/>
    </row>
    <row r="46" spans="1:9" x14ac:dyDescent="0.2">
      <c r="A46" s="28"/>
      <c r="B46" s="46" t="s">
        <v>93</v>
      </c>
      <c r="C46" s="47"/>
      <c r="D46" s="38" t="s">
        <v>94</v>
      </c>
      <c r="E46" s="28"/>
      <c r="F46" s="28"/>
      <c r="G46" s="28"/>
      <c r="H46" s="29">
        <f>H34+H45</f>
        <v>0</v>
      </c>
      <c r="I46" s="28"/>
    </row>
    <row r="47" spans="1:9" x14ac:dyDescent="0.2">
      <c r="A47" s="28"/>
      <c r="B47" s="46" t="s">
        <v>95</v>
      </c>
      <c r="C47" s="47"/>
      <c r="D47" s="38" t="s">
        <v>95</v>
      </c>
      <c r="E47" s="28"/>
      <c r="F47" s="28"/>
      <c r="G47" s="28"/>
      <c r="H47" s="29">
        <f>H46*0.08</f>
        <v>0</v>
      </c>
      <c r="I47" s="28"/>
    </row>
    <row r="48" spans="1:9" x14ac:dyDescent="0.2">
      <c r="A48" s="42"/>
      <c r="B48" s="48" t="s">
        <v>96</v>
      </c>
      <c r="C48" s="49"/>
      <c r="D48" s="43" t="s">
        <v>97</v>
      </c>
      <c r="E48" s="42"/>
      <c r="F48" s="42"/>
      <c r="G48" s="42"/>
      <c r="H48" s="44">
        <f>H46+H47</f>
        <v>0</v>
      </c>
      <c r="I48" s="42"/>
    </row>
  </sheetData>
  <mergeCells count="50">
    <mergeCell ref="B30:C30"/>
    <mergeCell ref="B31:C31"/>
    <mergeCell ref="B32:C32"/>
    <mergeCell ref="B33:C33"/>
    <mergeCell ref="B36:C36"/>
    <mergeCell ref="B25:C25"/>
    <mergeCell ref="A26:I26"/>
    <mergeCell ref="B27:D27"/>
    <mergeCell ref="B28:C28"/>
    <mergeCell ref="B29:C29"/>
    <mergeCell ref="B20:C20"/>
    <mergeCell ref="B21:C21"/>
    <mergeCell ref="B22:C22"/>
    <mergeCell ref="B23:C23"/>
    <mergeCell ref="B24:C24"/>
    <mergeCell ref="B15:C15"/>
    <mergeCell ref="B16:C16"/>
    <mergeCell ref="B17:C17"/>
    <mergeCell ref="B18:C18"/>
    <mergeCell ref="B19:C19"/>
    <mergeCell ref="B10:C10"/>
    <mergeCell ref="B11:C11"/>
    <mergeCell ref="B12:C12"/>
    <mergeCell ref="B13:C13"/>
    <mergeCell ref="B14:C14"/>
    <mergeCell ref="A5:I5"/>
    <mergeCell ref="A6:I6"/>
    <mergeCell ref="A7:I7"/>
    <mergeCell ref="A8:I8"/>
    <mergeCell ref="B9:C9"/>
    <mergeCell ref="H9:I9"/>
    <mergeCell ref="A1:B1"/>
    <mergeCell ref="C1:J1"/>
    <mergeCell ref="A2:I2"/>
    <mergeCell ref="A3:I3"/>
    <mergeCell ref="A4:I4"/>
    <mergeCell ref="B46:C46"/>
    <mergeCell ref="B47:C47"/>
    <mergeCell ref="B48:C48"/>
    <mergeCell ref="B35:D35"/>
    <mergeCell ref="B34:C34"/>
    <mergeCell ref="B37:C37"/>
    <mergeCell ref="B38:C38"/>
    <mergeCell ref="B39:C39"/>
    <mergeCell ref="B40:C40"/>
    <mergeCell ref="B41:C41"/>
    <mergeCell ref="B42:C42"/>
    <mergeCell ref="B43:C43"/>
    <mergeCell ref="B44:C44"/>
    <mergeCell ref="B45:C45"/>
  </mergeCells>
  <pageMargins left="0.7" right="0.7" top="0.75" bottom="0.75" header="0.3" footer="0.3"/>
  <pageSetup paperSize="9" scale="79"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Goldfarm</vt:lpstr>
      <vt:lpstr>Goldfarm!Print_Area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quangtl</dc:creator>
  <cp:lastModifiedBy>ADMIN</cp:lastModifiedBy>
  <dcterms:created xsi:type="dcterms:W3CDTF">2025-04-17T09:02:24Z</dcterms:created>
  <dcterms:modified xsi:type="dcterms:W3CDTF">2026-10-06T06:09:54Z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2024-07-09T00:00:00Z</vt:filetime>
  </property>
  <property fmtid="{D5CDD505-2E9C-101B-9397-08002B2CF9AE}" pid="3" name="Creator">
    <vt:lpwstr>Microsoft® Excel® LTSC</vt:lpwstr>
  </property>
  <property fmtid="{D5CDD505-2E9C-101B-9397-08002B2CF9AE}" pid="4" name="LastSaved">
    <vt:filetime>2025-04-17T00:00:00Z</vt:filetime>
  </property>
  <property fmtid="{D5CDD505-2E9C-101B-9397-08002B2CF9AE}" pid="5" name="Producer">
    <vt:lpwstr>Microsoft® Excel® LTSC</vt:lpwstr>
  </property>
</Properties>
</file>