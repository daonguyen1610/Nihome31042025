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BOQ\"/>
    </mc:Choice>
  </mc:AlternateContent>
  <bookViews>
    <workbookView xWindow="-120" yWindow="-120" windowWidth="29040" windowHeight="15840"/>
  </bookViews>
  <sheets>
    <sheet name="ptct" sheetId="3" r:id="rId1"/>
  </sheets>
  <calcPr calcId="162913"/>
</workbook>
</file>

<file path=xl/calcChain.xml><?xml version="1.0" encoding="utf-8"?>
<calcChain xmlns="http://schemas.openxmlformats.org/spreadsheetml/2006/main">
  <c r="G99" i="3" l="1"/>
  <c r="G80" i="3"/>
  <c r="G81" i="3"/>
  <c r="G78" i="3"/>
  <c r="G79" i="3"/>
  <c r="G97" i="3"/>
  <c r="G93" i="3"/>
  <c r="G96" i="3"/>
  <c r="G95" i="3"/>
  <c r="G92" i="3" l="1"/>
  <c r="G91" i="3"/>
  <c r="G90" i="3"/>
  <c r="G89" i="3"/>
  <c r="G88" i="3"/>
  <c r="G87" i="3"/>
  <c r="G86" i="3"/>
  <c r="G85" i="3"/>
  <c r="G100" i="3" l="1"/>
  <c r="G27" i="3" l="1"/>
  <c r="G26" i="3"/>
  <c r="G25" i="3"/>
  <c r="G68" i="3"/>
  <c r="G21" i="3"/>
  <c r="G22" i="3"/>
  <c r="G23" i="3"/>
  <c r="G24" i="3"/>
  <c r="G28" i="3"/>
  <c r="G29" i="3"/>
  <c r="G18" i="3"/>
  <c r="G33" i="3" l="1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9" i="3"/>
  <c r="G70" i="3"/>
  <c r="G71" i="3"/>
  <c r="G72" i="3"/>
  <c r="G73" i="3"/>
  <c r="G74" i="3"/>
  <c r="G75" i="3"/>
  <c r="G76" i="3"/>
  <c r="G77" i="3"/>
  <c r="G82" i="3"/>
  <c r="G17" i="3"/>
  <c r="G19" i="3"/>
  <c r="G20" i="3"/>
  <c r="G32" i="3" l="1"/>
  <c r="G16" i="3"/>
  <c r="G83" i="3" l="1"/>
  <c r="G30" i="3"/>
  <c r="G101" i="3" l="1"/>
</calcChain>
</file>

<file path=xl/sharedStrings.xml><?xml version="1.0" encoding="utf-8"?>
<sst xmlns="http://schemas.openxmlformats.org/spreadsheetml/2006/main" count="274" uniqueCount="143">
  <si>
    <t>* * * * * * * * * * * * * *</t>
  </si>
  <si>
    <t>CÔNG TRÌNH :</t>
  </si>
  <si>
    <t xml:space="preserve">                       </t>
  </si>
  <si>
    <t>HẠNG MỤC :</t>
  </si>
  <si>
    <t xml:space="preserve">                                   </t>
  </si>
  <si>
    <t>HỆ THỐNG BÁO CHÁY TỰ ĐỘNG</t>
  </si>
  <si>
    <t xml:space="preserve">                                  </t>
  </si>
  <si>
    <t>STT</t>
  </si>
  <si>
    <t>XUẤT XỨ</t>
  </si>
  <si>
    <t>ĐVT</t>
  </si>
  <si>
    <t>KL</t>
  </si>
  <si>
    <t>bộ</t>
  </si>
  <si>
    <t>cái</t>
  </si>
  <si>
    <t>Việt Nam</t>
  </si>
  <si>
    <t>m</t>
  </si>
  <si>
    <t>lô</t>
  </si>
  <si>
    <t>A</t>
  </si>
  <si>
    <t xml:space="preserve">Sơn đỏ đường ống </t>
  </si>
  <si>
    <t>kg</t>
  </si>
  <si>
    <t>hộp</t>
  </si>
  <si>
    <t>Keo A&amp;B</t>
  </si>
  <si>
    <t xml:space="preserve">Keo lụa </t>
  </si>
  <si>
    <t>cuộn</t>
  </si>
  <si>
    <t xml:space="preserve">ĐƠN GIÁ </t>
  </si>
  <si>
    <t>THÀNH TIỀN</t>
  </si>
  <si>
    <t>CỘNG B</t>
  </si>
  <si>
    <t>BẢNG BÁO GIÁ THI CÔNG HỆ THỐNG PCCC</t>
  </si>
  <si>
    <t xml:space="preserve">HỆ THỐNG CẤP NƯỚC CHỮA CHÁY TỰ ĐỘNG      </t>
  </si>
  <si>
    <t>ĐẶT TÍNH</t>
  </si>
  <si>
    <t>Hàn Quốc</t>
  </si>
  <si>
    <t>Đồng hồ áp lực</t>
  </si>
  <si>
    <t>Công tắc áp lực+van+siphong</t>
  </si>
  <si>
    <t xml:space="preserve">B </t>
  </si>
  <si>
    <t>C</t>
  </si>
  <si>
    <t xml:space="preserve">CỘNG A </t>
  </si>
  <si>
    <t>CỘNG C</t>
  </si>
  <si>
    <t>DANH MỤC VẬT TƯ</t>
  </si>
  <si>
    <t>GIÁ TRỊ</t>
  </si>
  <si>
    <t>HỆ THỐNG CHỮA CHÁY TỰ ĐỘNG</t>
  </si>
  <si>
    <t>ĐẠI DIỆN CÔNG TY</t>
  </si>
  <si>
    <t xml:space="preserve">Ống STK D76 dày 2.9mm </t>
  </si>
  <si>
    <t>Hai đầu ren ngoài D60</t>
  </si>
  <si>
    <t xml:space="preserve">Hộp chữa cháy trong nhà (600x400x220) </t>
  </si>
  <si>
    <t xml:space="preserve">Cuộn vòi B (L20m - DN50) </t>
  </si>
  <si>
    <t>Van chữa cháy D50</t>
  </si>
  <si>
    <t>Lăng phun chữa cháy ( D50/13 )</t>
  </si>
  <si>
    <t xml:space="preserve">HỆ THỐNG BÁO CHÁY TỰ ĐỘNG </t>
  </si>
  <si>
    <t>Van một chiều D76</t>
  </si>
  <si>
    <t>Chống rung D 76</t>
  </si>
  <si>
    <t>Hai đầu ren ngoài D76</t>
  </si>
  <si>
    <t>Tê hàn D76_60</t>
  </si>
  <si>
    <t>Co hàn 76</t>
  </si>
  <si>
    <t xml:space="preserve">Van khóa D76 </t>
  </si>
  <si>
    <t>bó</t>
  </si>
  <si>
    <t>Nhân công</t>
  </si>
  <si>
    <t>Bầu giảm 76-60</t>
  </si>
  <si>
    <t>Cùm U D76</t>
  </si>
  <si>
    <t>Máy bơm bù áp 3hp</t>
  </si>
  <si>
    <t>Tủ điều khiển 2 bơm chữa cháy</t>
  </si>
  <si>
    <t>Van 1 chiều 34</t>
  </si>
  <si>
    <t>van khóa 34</t>
  </si>
  <si>
    <t>Chống rung 34</t>
  </si>
  <si>
    <t>Lupe D76</t>
  </si>
  <si>
    <t>Lupe 34</t>
  </si>
  <si>
    <t>Co 34</t>
  </si>
  <si>
    <t>Tê 34-21</t>
  </si>
  <si>
    <t>co 34 -21</t>
  </si>
  <si>
    <t>Tê đều 34</t>
  </si>
  <si>
    <t xml:space="preserve">                               ĐỊA ĐIỂM :</t>
  </si>
  <si>
    <t>ĐẠI DIỆN CHỦ ĐẦU TƯ</t>
  </si>
  <si>
    <t>GIÁM ĐỐC</t>
  </si>
  <si>
    <t>Ghi chú: 
- Giá trên chưa bao gồm thuế VAT 10%
Mọi thiết bị mới 100% được bảo hành 12 tháng</t>
  </si>
  <si>
    <t>CỘNG ( A + B + C)</t>
  </si>
  <si>
    <t xml:space="preserve">Nút nhấn khẩn </t>
  </si>
  <si>
    <t xml:space="preserve">Máy bơm điện chữa cháy 20HP </t>
  </si>
  <si>
    <t>Việt Đức</t>
  </si>
  <si>
    <t>Sắt V4</t>
  </si>
  <si>
    <t>Dây cáp điện  4x 10mm</t>
  </si>
  <si>
    <t xml:space="preserve">Bằng chữ : </t>
  </si>
  <si>
    <t>Vật tư phụ : (box ,băng keo ,tacke, dây rút , nối ... )</t>
  </si>
  <si>
    <t>cùm treo 34</t>
  </si>
  <si>
    <t>Dây cáp điện 3*4.0</t>
  </si>
  <si>
    <t>Que hàn 2,6 ly</t>
  </si>
  <si>
    <t xml:space="preserve">Ống STK D60 dày 2.6mm </t>
  </si>
  <si>
    <t>Ống STK 34 dày 2,6mm</t>
  </si>
  <si>
    <t>VĂN PHÒNG CHO THUÊ</t>
  </si>
  <si>
    <t>Đầu báo khói</t>
  </si>
  <si>
    <t>Đầu báo nhiệt</t>
  </si>
  <si>
    <t>VN</t>
  </si>
  <si>
    <t xml:space="preserve">Còi/chuông báo cháy </t>
  </si>
  <si>
    <t>Đầu sprinkler</t>
  </si>
  <si>
    <t>TYC0/VN</t>
  </si>
  <si>
    <t>WINDY/
Việt Nam</t>
  </si>
  <si>
    <t>Họng chờ đôi</t>
  </si>
  <si>
    <t>Tê hàn 76</t>
  </si>
  <si>
    <t>ĐL</t>
  </si>
  <si>
    <t>Co 60</t>
  </si>
  <si>
    <t>Nối kép 60</t>
  </si>
  <si>
    <t>Mặt bích 76 + Ron</t>
  </si>
  <si>
    <t>Mặt bích 60 + Ron</t>
  </si>
  <si>
    <t>Cùm treo 60</t>
  </si>
  <si>
    <t>Vật tư phụ (ốc, vít, tacke, bulong, lăng ,cọ,…)</t>
  </si>
  <si>
    <t>VĐ</t>
  </si>
  <si>
    <r>
      <rPr>
        <b/>
        <i/>
        <u/>
        <sz val="12"/>
        <rFont val="Times New Roman"/>
        <family val="1"/>
      </rPr>
      <t>Kính gửi</t>
    </r>
    <r>
      <rPr>
        <b/>
        <i/>
        <sz val="12"/>
        <rFont val="Times New Roman"/>
        <family val="1"/>
      </rPr>
      <t>: Công ty………………………………………………………………..</t>
    </r>
  </si>
  <si>
    <t>Trung tâm báo cháy 8 zone</t>
  </si>
  <si>
    <t xml:space="preserve"> Tp HCM . Ngày  ... tháng ...năm 2024</t>
  </si>
  <si>
    <t>HỆ THỐNG CỬA CHỐNG CHÁY</t>
  </si>
  <si>
    <t>đèn sự cố</t>
  </si>
  <si>
    <t>đèn exit</t>
  </si>
  <si>
    <t xml:space="preserve"> dây đèn</t>
  </si>
  <si>
    <t>đài loan</t>
  </si>
  <si>
    <t>vn</t>
  </si>
  <si>
    <t>Kim thu sét liva 64m bakiral</t>
  </si>
  <si>
    <t>Turkey</t>
  </si>
  <si>
    <t>cây</t>
  </si>
  <si>
    <t>Ống kẽm 60</t>
  </si>
  <si>
    <t>Cáp đồng trần thoát sét 50mm2</t>
  </si>
  <si>
    <t>Cọc thoát sét</t>
  </si>
  <si>
    <t>Ống PVC 20</t>
  </si>
  <si>
    <t>Cáp giằng kim thu sét bọc pvc</t>
  </si>
  <si>
    <t>Đế + trụ kim thu sét</t>
  </si>
  <si>
    <t>Vật tư phụ (sơn,tacke sắt,tăng đơ,ốc siết cáp,…)</t>
  </si>
  <si>
    <t xml:space="preserve"> hệ thống chống sét + cữa chống cháy</t>
  </si>
  <si>
    <t>việt nam</t>
  </si>
  <si>
    <t>vật tư ráp cửa</t>
  </si>
  <si>
    <t>Nhân công chống sét</t>
  </si>
  <si>
    <t>CỬA CHỐNG CHÁY</t>
  </si>
  <si>
    <t>HỒ SƠ PCCC</t>
  </si>
  <si>
    <t>bình chữa cháy bột f4</t>
  </si>
  <si>
    <t>dragon vn</t>
  </si>
  <si>
    <t>binh chữa cháy co2 T3</t>
  </si>
  <si>
    <t>kệ đôi</t>
  </si>
  <si>
    <t>Cửa chống cháy (0,9m - 1m1, cao 2m - 2m2)</t>
  </si>
  <si>
    <t xml:space="preserve"> Hồ sơ phương án PCCC + cán bộ quản lý pccc xuống kiểm tra và tets hệ thống khi hoàn thiện</t>
  </si>
  <si>
    <t>Hochiki</t>
  </si>
  <si>
    <t>Cadivi</t>
  </si>
  <si>
    <t>Dây cáp tín hiệu đầu báo CXV/FR 2x0.75</t>
  </si>
  <si>
    <t>Dây nguồn đèn CXV/FR 2x0.75</t>
  </si>
  <si>
    <t>Dây nguồn còi CXV/FR 2x0.75</t>
  </si>
  <si>
    <t>Ống bảo vệ dây PVC D20</t>
  </si>
  <si>
    <t>CÔNG TY TNHH ….</t>
  </si>
  <si>
    <t xml:space="preserve"> kha Vạn Cân, KP6,,Phường Hiệp Bình Chánh, TP.Thủ Đức, TP.PHCM</t>
  </si>
  <si>
    <t xml:space="preserve">Mail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</si>
</sst>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5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8"/>
      <color indexed="56"/>
      <name val="Cambria"/>
      <family val="1"/>
    </font>
    <font>
      <sz val="10"/>
      <name val="VNI-Times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11"/>
      <color indexed="20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b/>
      <sz val="15"/>
      <color indexed="56"/>
      <name val="Calibri"/>
      <family val="2"/>
    </font>
    <font>
      <sz val="11"/>
      <color indexed="60"/>
      <name val="Calibri"/>
      <family val="2"/>
    </font>
    <font>
      <b/>
      <sz val="13"/>
      <color indexed="56"/>
      <name val="Calibri"/>
      <family val="2"/>
    </font>
    <font>
      <i/>
      <sz val="11"/>
      <color indexed="23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2"/>
      <color theme="3" tint="-0.499984740745262"/>
      <name val="Cambria"/>
      <family val="1"/>
    </font>
    <font>
      <sz val="10"/>
      <color theme="3" tint="-0.499984740745262"/>
      <name val="Arial"/>
      <family val="2"/>
    </font>
    <font>
      <sz val="13"/>
      <color theme="3" tint="-0.499984740745262"/>
      <name val="Cambria"/>
      <family val="1"/>
    </font>
    <font>
      <sz val="10"/>
      <color theme="3" tint="-0.499984740745262"/>
      <name val="Calibri"/>
      <family val="2"/>
      <scheme val="minor"/>
    </font>
    <font>
      <b/>
      <sz val="13"/>
      <color theme="3" tint="-0.499984740745262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i/>
      <sz val="11"/>
      <name val="Times New Roman"/>
      <family val="1"/>
    </font>
    <font>
      <i/>
      <sz val="13"/>
      <name val="Times New Roman"/>
      <family val="1"/>
    </font>
    <font>
      <b/>
      <i/>
      <sz val="12"/>
      <name val="Times New Roman"/>
      <family val="1"/>
    </font>
    <font>
      <b/>
      <i/>
      <u/>
      <sz val="12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11.5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u/>
      <sz val="13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6">
    <xf numFmtId="0" fontId="0" fillId="0" borderId="0"/>
    <xf numFmtId="0" fontId="1" fillId="0" borderId="0"/>
    <xf numFmtId="0" fontId="7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11" fillId="3" borderId="0" applyNumberFormat="0" applyBorder="0" applyAlignment="0" applyProtection="0"/>
    <xf numFmtId="0" fontId="4" fillId="20" borderId="1" applyNumberFormat="0" applyAlignment="0" applyProtection="0"/>
    <xf numFmtId="0" fontId="19" fillId="21" borderId="2" applyNumberFormat="0" applyAlignment="0" applyProtection="0"/>
    <xf numFmtId="43" fontId="20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5" fillId="0" borderId="3" applyNumberFormat="0" applyFill="0" applyAlignment="0" applyProtection="0"/>
    <xf numFmtId="0" fontId="17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5" fillId="7" borderId="1" applyNumberFormat="0" applyAlignment="0" applyProtection="0"/>
    <xf numFmtId="0" fontId="13" fillId="0" borderId="6" applyNumberFormat="0" applyFill="0" applyAlignment="0" applyProtection="0"/>
    <xf numFmtId="0" fontId="16" fillId="22" borderId="0" applyNumberFormat="0" applyBorder="0" applyAlignment="0" applyProtection="0"/>
    <xf numFmtId="0" fontId="20" fillId="23" borderId="7" applyNumberFormat="0" applyFont="0" applyAlignment="0" applyProtection="0"/>
    <xf numFmtId="0" fontId="8" fillId="20" borderId="8" applyNumberFormat="0" applyAlignment="0" applyProtection="0"/>
    <xf numFmtId="0" fontId="6" fillId="0" borderId="0" applyNumberFormat="0" applyFill="0" applyBorder="0" applyAlignment="0" applyProtection="0"/>
    <xf numFmtId="0" fontId="12" fillId="0" borderId="9" applyNumberFormat="0" applyFill="0" applyAlignment="0" applyProtection="0"/>
    <xf numFmtId="0" fontId="10" fillId="0" borderId="0" applyNumberFormat="0" applyFill="0" applyBorder="0" applyAlignment="0" applyProtection="0"/>
    <xf numFmtId="43" fontId="21" fillId="0" borderId="0" applyFont="0" applyFill="0" applyBorder="0" applyAlignment="0" applyProtection="0"/>
  </cellStyleXfs>
  <cellXfs count="71">
    <xf numFmtId="0" fontId="0" fillId="0" borderId="0" xfId="0"/>
    <xf numFmtId="0" fontId="22" fillId="24" borderId="0" xfId="0" applyFont="1" applyFill="1" applyAlignment="1">
      <alignment vertical="center"/>
    </xf>
    <xf numFmtId="0" fontId="23" fillId="24" borderId="0" xfId="1" applyFont="1" applyFill="1" applyAlignment="1">
      <alignment vertical="center"/>
    </xf>
    <xf numFmtId="0" fontId="24" fillId="24" borderId="0" xfId="1" applyFont="1" applyFill="1" applyAlignment="1">
      <alignment vertical="center"/>
    </xf>
    <xf numFmtId="0" fontId="25" fillId="24" borderId="0" xfId="1" applyFont="1" applyFill="1" applyAlignment="1">
      <alignment horizontal="center" vertical="center"/>
    </xf>
    <xf numFmtId="0" fontId="26" fillId="24" borderId="0" xfId="0" applyFont="1" applyFill="1" applyAlignment="1">
      <alignment vertical="center"/>
    </xf>
    <xf numFmtId="0" fontId="27" fillId="24" borderId="0" xfId="0" applyFont="1" applyFill="1" applyAlignment="1">
      <alignment horizontal="center" vertical="center" wrapText="1"/>
    </xf>
    <xf numFmtId="164" fontId="25" fillId="24" borderId="0" xfId="45" applyNumberFormat="1" applyFont="1" applyFill="1" applyAlignment="1">
      <alignment horizontal="center" vertical="center"/>
    </xf>
    <xf numFmtId="164" fontId="22" fillId="24" borderId="0" xfId="45" applyNumberFormat="1" applyFont="1" applyFill="1" applyAlignment="1">
      <alignment vertical="center"/>
    </xf>
    <xf numFmtId="164" fontId="25" fillId="24" borderId="0" xfId="45" applyNumberFormat="1" applyFont="1" applyFill="1" applyAlignment="1">
      <alignment vertical="center"/>
    </xf>
    <xf numFmtId="164" fontId="24" fillId="24" borderId="0" xfId="45" applyNumberFormat="1" applyFont="1" applyFill="1" applyAlignment="1">
      <alignment horizontal="center" vertical="center"/>
    </xf>
    <xf numFmtId="164" fontId="24" fillId="24" borderId="0" xfId="45" applyNumberFormat="1" applyFont="1" applyFill="1" applyAlignment="1">
      <alignment vertical="center"/>
    </xf>
    <xf numFmtId="164" fontId="22" fillId="24" borderId="0" xfId="45" applyNumberFormat="1" applyFont="1" applyFill="1" applyAlignment="1">
      <alignment horizontal="center" vertical="center"/>
    </xf>
    <xf numFmtId="0" fontId="25" fillId="24" borderId="0" xfId="1" applyFont="1" applyFill="1" applyAlignment="1">
      <alignment vertical="center"/>
    </xf>
    <xf numFmtId="0" fontId="32" fillId="24" borderId="0" xfId="1" applyFont="1" applyFill="1" applyAlignment="1">
      <alignment horizontal="right" vertical="center" wrapText="1"/>
    </xf>
    <xf numFmtId="0" fontId="29" fillId="24" borderId="0" xfId="1" applyFont="1" applyFill="1" applyAlignment="1">
      <alignment vertical="center"/>
    </xf>
    <xf numFmtId="0" fontId="36" fillId="24" borderId="0" xfId="1" applyFont="1" applyFill="1" applyAlignment="1">
      <alignment horizontal="right" vertical="center"/>
    </xf>
    <xf numFmtId="0" fontId="36" fillId="24" borderId="0" xfId="1" applyFont="1" applyFill="1" applyAlignment="1">
      <alignment horizontal="center" vertical="center"/>
    </xf>
    <xf numFmtId="0" fontId="37" fillId="24" borderId="0" xfId="1" applyFont="1" applyFill="1" applyAlignment="1">
      <alignment vertical="center"/>
    </xf>
    <xf numFmtId="0" fontId="36" fillId="24" borderId="0" xfId="1" applyFont="1" applyFill="1" applyAlignment="1">
      <alignment vertical="center"/>
    </xf>
    <xf numFmtId="0" fontId="38" fillId="24" borderId="0" xfId="1" applyFont="1" applyFill="1" applyAlignment="1">
      <alignment vertical="center"/>
    </xf>
    <xf numFmtId="164" fontId="36" fillId="24" borderId="0" xfId="45" applyNumberFormat="1" applyFont="1" applyFill="1" applyAlignment="1">
      <alignment horizontal="center" vertical="center"/>
    </xf>
    <xf numFmtId="164" fontId="36" fillId="24" borderId="0" xfId="45" applyNumberFormat="1" applyFont="1" applyFill="1" applyAlignment="1">
      <alignment vertical="center"/>
    </xf>
    <xf numFmtId="0" fontId="30" fillId="24" borderId="0" xfId="1" applyFont="1" applyFill="1" applyAlignment="1">
      <alignment vertical="center"/>
    </xf>
    <xf numFmtId="0" fontId="39" fillId="24" borderId="0" xfId="1" applyFont="1" applyFill="1" applyAlignment="1">
      <alignment horizontal="center" vertical="center"/>
    </xf>
    <xf numFmtId="0" fontId="38" fillId="24" borderId="0" xfId="1" applyFont="1" applyFill="1" applyAlignment="1">
      <alignment horizontal="center" vertical="center"/>
    </xf>
    <xf numFmtId="0" fontId="40" fillId="24" borderId="0" xfId="1" applyFont="1" applyFill="1" applyAlignment="1">
      <alignment horizontal="center" vertical="center"/>
    </xf>
    <xf numFmtId="164" fontId="40" fillId="24" borderId="0" xfId="45" applyNumberFormat="1" applyFont="1" applyFill="1" applyBorder="1" applyAlignment="1">
      <alignment horizontal="center" vertical="center"/>
    </xf>
    <xf numFmtId="3" fontId="29" fillId="24" borderId="10" xfId="1" applyNumberFormat="1" applyFont="1" applyFill="1" applyBorder="1" applyAlignment="1">
      <alignment horizontal="center" vertical="center" wrapText="1"/>
    </xf>
    <xf numFmtId="3" fontId="29" fillId="24" borderId="10" xfId="1" applyNumberFormat="1" applyFont="1" applyFill="1" applyBorder="1" applyAlignment="1">
      <alignment horizontal="center" vertical="center"/>
    </xf>
    <xf numFmtId="3" fontId="29" fillId="24" borderId="12" xfId="1" applyNumberFormat="1" applyFont="1" applyFill="1" applyBorder="1" applyAlignment="1">
      <alignment vertical="center" wrapText="1"/>
    </xf>
    <xf numFmtId="164" fontId="29" fillId="24" borderId="10" xfId="45" applyNumberFormat="1" applyFont="1" applyFill="1" applyBorder="1" applyAlignment="1">
      <alignment horizontal="center" vertical="center" wrapText="1"/>
    </xf>
    <xf numFmtId="0" fontId="41" fillId="24" borderId="10" xfId="1" applyFont="1" applyFill="1" applyBorder="1" applyAlignment="1">
      <alignment horizontal="center" vertical="center"/>
    </xf>
    <xf numFmtId="3" fontId="41" fillId="24" borderId="10" xfId="1" applyNumberFormat="1" applyFont="1" applyFill="1" applyBorder="1" applyAlignment="1">
      <alignment vertical="center" wrapText="1"/>
    </xf>
    <xf numFmtId="3" fontId="30" fillId="24" borderId="10" xfId="1" applyNumberFormat="1" applyFont="1" applyFill="1" applyBorder="1" applyAlignment="1">
      <alignment horizontal="center" vertical="center"/>
    </xf>
    <xf numFmtId="0" fontId="41" fillId="24" borderId="10" xfId="1" applyFont="1" applyFill="1" applyBorder="1" applyAlignment="1">
      <alignment horizontal="center" vertical="center" wrapText="1"/>
    </xf>
    <xf numFmtId="164" fontId="41" fillId="24" borderId="10" xfId="45" applyNumberFormat="1" applyFont="1" applyFill="1" applyBorder="1" applyAlignment="1">
      <alignment horizontal="center" vertical="center"/>
    </xf>
    <xf numFmtId="0" fontId="41" fillId="24" borderId="10" xfId="1" applyFont="1" applyFill="1" applyBorder="1" applyAlignment="1">
      <alignment horizontal="left" vertical="center" wrapText="1"/>
    </xf>
    <xf numFmtId="164" fontId="42" fillId="24" borderId="10" xfId="45" applyNumberFormat="1" applyFont="1" applyFill="1" applyBorder="1" applyAlignment="1">
      <alignment horizontal="center" vertical="center"/>
    </xf>
    <xf numFmtId="3" fontId="29" fillId="24" borderId="12" xfId="1" applyNumberFormat="1" applyFont="1" applyFill="1" applyBorder="1" applyAlignment="1">
      <alignment vertical="center"/>
    </xf>
    <xf numFmtId="164" fontId="41" fillId="0" borderId="10" xfId="45" applyNumberFormat="1" applyFont="1" applyFill="1" applyBorder="1" applyAlignment="1">
      <alignment horizontal="center" vertical="center"/>
    </xf>
    <xf numFmtId="0" fontId="30" fillId="24" borderId="10" xfId="1" applyFont="1" applyFill="1" applyBorder="1" applyAlignment="1">
      <alignment horizontal="center" vertical="center" wrapText="1"/>
    </xf>
    <xf numFmtId="3" fontId="42" fillId="24" borderId="10" xfId="1" applyNumberFormat="1" applyFont="1" applyFill="1" applyBorder="1" applyAlignment="1">
      <alignment vertical="center" wrapText="1"/>
    </xf>
    <xf numFmtId="3" fontId="42" fillId="24" borderId="11" xfId="1" applyNumberFormat="1" applyFont="1" applyFill="1" applyBorder="1" applyAlignment="1">
      <alignment vertical="center" wrapText="1"/>
    </xf>
    <xf numFmtId="0" fontId="38" fillId="24" borderId="0" xfId="0" applyFont="1" applyFill="1" applyAlignment="1">
      <alignment horizontal="center" vertical="center" wrapText="1"/>
    </xf>
    <xf numFmtId="0" fontId="41" fillId="24" borderId="0" xfId="0" applyFont="1" applyFill="1" applyAlignment="1">
      <alignment vertical="center"/>
    </xf>
    <xf numFmtId="0" fontId="42" fillId="0" borderId="0" xfId="1" applyFont="1" applyAlignment="1">
      <alignment vertical="center"/>
    </xf>
    <xf numFmtId="164" fontId="39" fillId="24" borderId="0" xfId="45" applyNumberFormat="1" applyFont="1" applyFill="1" applyAlignment="1">
      <alignment horizontal="center" vertical="center"/>
    </xf>
    <xf numFmtId="164" fontId="22" fillId="24" borderId="0" xfId="0" applyNumberFormat="1" applyFont="1" applyFill="1" applyAlignment="1">
      <alignment vertical="center"/>
    </xf>
    <xf numFmtId="0" fontId="35" fillId="24" borderId="0" xfId="1" applyFont="1" applyFill="1" applyAlignment="1">
      <alignment horizontal="center" vertical="center"/>
    </xf>
    <xf numFmtId="3" fontId="29" fillId="24" borderId="12" xfId="1" applyNumberFormat="1" applyFont="1" applyFill="1" applyBorder="1" applyAlignment="1">
      <alignment horizontal="center" vertical="center" wrapText="1"/>
    </xf>
    <xf numFmtId="3" fontId="29" fillId="24" borderId="13" xfId="1" applyNumberFormat="1" applyFont="1" applyFill="1" applyBorder="1" applyAlignment="1">
      <alignment horizontal="center" vertical="center" wrapText="1"/>
    </xf>
    <xf numFmtId="3" fontId="29" fillId="24" borderId="11" xfId="1" applyNumberFormat="1" applyFont="1" applyFill="1" applyBorder="1" applyAlignment="1">
      <alignment horizontal="center" vertical="center" wrapText="1"/>
    </xf>
    <xf numFmtId="164" fontId="29" fillId="24" borderId="12" xfId="45" applyNumberFormat="1" applyFont="1" applyFill="1" applyBorder="1" applyAlignment="1">
      <alignment horizontal="center" vertical="center" wrapText="1"/>
    </xf>
    <xf numFmtId="164" fontId="29" fillId="24" borderId="11" xfId="45" applyNumberFormat="1" applyFont="1" applyFill="1" applyBorder="1" applyAlignment="1">
      <alignment horizontal="center" vertical="center" wrapText="1"/>
    </xf>
    <xf numFmtId="3" fontId="42" fillId="24" borderId="12" xfId="1" applyNumberFormat="1" applyFont="1" applyFill="1" applyBorder="1" applyAlignment="1">
      <alignment horizontal="center" vertical="center" wrapText="1"/>
    </xf>
    <xf numFmtId="3" fontId="42" fillId="24" borderId="13" xfId="1" applyNumberFormat="1" applyFont="1" applyFill="1" applyBorder="1" applyAlignment="1">
      <alignment horizontal="center" vertical="center" wrapText="1"/>
    </xf>
    <xf numFmtId="3" fontId="42" fillId="24" borderId="11" xfId="1" applyNumberFormat="1" applyFont="1" applyFill="1" applyBorder="1" applyAlignment="1">
      <alignment horizontal="center" vertical="center" wrapText="1"/>
    </xf>
    <xf numFmtId="0" fontId="33" fillId="24" borderId="0" xfId="1" applyFont="1" applyFill="1" applyAlignment="1">
      <alignment horizontal="left" vertical="center" wrapText="1"/>
    </xf>
    <xf numFmtId="0" fontId="28" fillId="24" borderId="0" xfId="1" applyFont="1" applyFill="1" applyAlignment="1">
      <alignment horizontal="center" vertical="center"/>
    </xf>
    <xf numFmtId="0" fontId="29" fillId="24" borderId="0" xfId="1" applyFont="1" applyFill="1" applyAlignment="1">
      <alignment horizontal="center" vertical="center"/>
    </xf>
    <xf numFmtId="0" fontId="30" fillId="24" borderId="0" xfId="1" applyFont="1" applyFill="1" applyAlignment="1">
      <alignment horizontal="center" vertical="center" wrapText="1"/>
    </xf>
    <xf numFmtId="0" fontId="31" fillId="24" borderId="0" xfId="1" applyFont="1" applyFill="1" applyAlignment="1">
      <alignment horizontal="right" vertical="center" wrapText="1"/>
    </xf>
    <xf numFmtId="3" fontId="42" fillId="24" borderId="10" xfId="1" applyNumberFormat="1" applyFont="1" applyFill="1" applyBorder="1" applyAlignment="1">
      <alignment horizontal="center" vertical="center" wrapText="1"/>
    </xf>
    <xf numFmtId="0" fontId="36" fillId="24" borderId="0" xfId="1" applyFont="1" applyFill="1" applyAlignment="1">
      <alignment horizontal="left" vertical="center"/>
    </xf>
    <xf numFmtId="0" fontId="27" fillId="24" borderId="0" xfId="0" applyFont="1" applyFill="1" applyAlignment="1">
      <alignment horizontal="center" vertical="center" wrapText="1"/>
    </xf>
    <xf numFmtId="0" fontId="33" fillId="24" borderId="14" xfId="0" applyFont="1" applyFill="1" applyBorder="1" applyAlignment="1">
      <alignment horizontal="left" vertical="center"/>
    </xf>
    <xf numFmtId="0" fontId="38" fillId="24" borderId="0" xfId="0" applyFont="1" applyFill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43" fillId="24" borderId="0" xfId="0" applyFont="1" applyFill="1" applyAlignment="1">
      <alignment horizontal="left" vertical="center" wrapText="1"/>
    </xf>
  </cellXfs>
  <cellStyles count="46">
    <cellStyle name="0,0_x000d__x000a_NA_x000d__x000a_" xfId="2"/>
    <cellStyle name="20% - Accent1 2" xfId="3"/>
    <cellStyle name="20% - Accent2 2" xfId="4"/>
    <cellStyle name="20% - Accent3 2" xfId="5"/>
    <cellStyle name="20% - Accent4 2" xfId="6"/>
    <cellStyle name="20% - Accent5 2" xfId="7"/>
    <cellStyle name="20% - Accent6 2" xfId="8"/>
    <cellStyle name="40% - Accent1 2" xfId="9"/>
    <cellStyle name="40% - Accent2 2" xfId="10"/>
    <cellStyle name="40% - Accent3 2" xfId="11"/>
    <cellStyle name="40% - Accent4 2" xfId="12"/>
    <cellStyle name="40% - Accent5 2" xfId="13"/>
    <cellStyle name="40% - Accent6 2" xfId="14"/>
    <cellStyle name="60% - Accent1 2" xfId="15"/>
    <cellStyle name="60% - Accent2 2" xfId="16"/>
    <cellStyle name="60% - Accent3 2" xfId="17"/>
    <cellStyle name="60% - Accent4 2" xfId="18"/>
    <cellStyle name="60% - Accent5 2" xfId="19"/>
    <cellStyle name="60% - Accent6 2" xfId="20"/>
    <cellStyle name="Accent1 2" xfId="21"/>
    <cellStyle name="Accent2 2" xfId="22"/>
    <cellStyle name="Accent3 2" xfId="23"/>
    <cellStyle name="Accent4 2" xfId="24"/>
    <cellStyle name="Accent5 2" xfId="25"/>
    <cellStyle name="Accent6 2" xfId="26"/>
    <cellStyle name="Bad 2" xfId="27"/>
    <cellStyle name="Calculation 2" xfId="28"/>
    <cellStyle name="Check Cell 2" xfId="29"/>
    <cellStyle name="Comma" xfId="45" builtinId="3"/>
    <cellStyle name="Comma 2" xfId="30"/>
    <cellStyle name="Explanatory Text 2" xfId="31"/>
    <cellStyle name="Good 2" xfId="32"/>
    <cellStyle name="Heading 1 2" xfId="33"/>
    <cellStyle name="Heading 2 2" xfId="34"/>
    <cellStyle name="Heading 3 2" xfId="35"/>
    <cellStyle name="Heading 4 2" xfId="36"/>
    <cellStyle name="Input 2" xfId="37"/>
    <cellStyle name="Linked Cell 2" xfId="38"/>
    <cellStyle name="Neutral 2" xfId="39"/>
    <cellStyle name="Normal" xfId="0" builtinId="0"/>
    <cellStyle name="Normal 2" xfId="1"/>
    <cellStyle name="Note 2" xfId="40"/>
    <cellStyle name="Output 2" xfId="41"/>
    <cellStyle name="Title 2" xfId="42"/>
    <cellStyle name="Total 2" xfId="43"/>
    <cellStyle name="Warning Text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3"/>
  <sheetViews>
    <sheetView tabSelected="1" topLeftCell="A34" workbookViewId="0">
      <selection activeCell="E21" sqref="E21"/>
    </sheetView>
  </sheetViews>
  <sheetFormatPr defaultColWidth="9.140625" defaultRowHeight="15"/>
  <cols>
    <col min="1" max="1" width="5" style="1" customWidth="1"/>
    <col min="2" max="2" width="28.28515625" style="1" customWidth="1"/>
    <col min="3" max="3" width="11.140625" style="1" customWidth="1"/>
    <col min="4" max="4" width="5.42578125" style="1" customWidth="1"/>
    <col min="5" max="5" width="9.42578125" style="12" customWidth="1"/>
    <col min="6" max="6" width="12.7109375" style="8" bestFit="1" customWidth="1"/>
    <col min="7" max="7" width="16.7109375" style="8" customWidth="1"/>
    <col min="8" max="16384" width="9.140625" style="1"/>
  </cols>
  <sheetData>
    <row r="1" spans="1:9" ht="20.25">
      <c r="A1" s="49" t="s">
        <v>140</v>
      </c>
      <c r="B1" s="49"/>
      <c r="C1" s="49"/>
      <c r="D1" s="49"/>
      <c r="E1" s="49"/>
      <c r="F1" s="49"/>
      <c r="G1" s="49"/>
    </row>
    <row r="2" spans="1:9">
      <c r="A2" s="59" t="s">
        <v>141</v>
      </c>
      <c r="B2" s="59"/>
      <c r="C2" s="59"/>
      <c r="D2" s="59"/>
      <c r="E2" s="59"/>
      <c r="F2" s="59"/>
      <c r="G2" s="59"/>
    </row>
    <row r="3" spans="1:9">
      <c r="A3" s="60" t="s">
        <v>142</v>
      </c>
      <c r="B3" s="60"/>
      <c r="C3" s="60"/>
      <c r="D3" s="60"/>
      <c r="E3" s="60"/>
      <c r="F3" s="60"/>
      <c r="G3" s="60"/>
    </row>
    <row r="4" spans="1:9" ht="9.75" customHeight="1">
      <c r="A4" s="61" t="s">
        <v>0</v>
      </c>
      <c r="B4" s="61"/>
      <c r="C4" s="61"/>
      <c r="D4" s="61"/>
      <c r="E4" s="61"/>
      <c r="F4" s="61"/>
      <c r="G4" s="61"/>
    </row>
    <row r="5" spans="1:9" ht="18" customHeight="1">
      <c r="A5" s="62" t="s">
        <v>105</v>
      </c>
      <c r="B5" s="62"/>
      <c r="C5" s="62"/>
      <c r="D5" s="62"/>
      <c r="E5" s="62"/>
      <c r="F5" s="62"/>
      <c r="G5" s="62"/>
    </row>
    <row r="6" spans="1:9" ht="16.5" customHeight="1">
      <c r="A6" s="14"/>
      <c r="B6" s="58" t="s">
        <v>103</v>
      </c>
      <c r="C6" s="58"/>
      <c r="D6" s="58"/>
      <c r="E6" s="58"/>
      <c r="F6" s="58"/>
      <c r="G6" s="58"/>
    </row>
    <row r="7" spans="1:9" ht="21.75" customHeight="1">
      <c r="A7" s="49" t="s">
        <v>26</v>
      </c>
      <c r="B7" s="49"/>
      <c r="C7" s="49"/>
      <c r="D7" s="49"/>
      <c r="E7" s="49"/>
      <c r="F7" s="49"/>
      <c r="G7" s="49"/>
    </row>
    <row r="8" spans="1:9" ht="15.75">
      <c r="A8" s="15"/>
      <c r="B8" s="16" t="s">
        <v>1</v>
      </c>
      <c r="C8" s="64" t="s">
        <v>85</v>
      </c>
      <c r="D8" s="64"/>
      <c r="E8" s="64"/>
      <c r="F8" s="64"/>
      <c r="G8" s="64"/>
    </row>
    <row r="9" spans="1:9" ht="15.75">
      <c r="A9" s="15"/>
      <c r="B9" s="17" t="s">
        <v>68</v>
      </c>
      <c r="C9" s="15"/>
      <c r="D9" s="18"/>
      <c r="E9" s="19"/>
      <c r="F9" s="19"/>
      <c r="G9" s="19"/>
      <c r="H9" s="2"/>
      <c r="I9" s="2"/>
    </row>
    <row r="10" spans="1:9" ht="16.5">
      <c r="A10" s="20" t="s">
        <v>2</v>
      </c>
      <c r="B10" s="16" t="s">
        <v>3</v>
      </c>
      <c r="C10" s="19" t="s">
        <v>27</v>
      </c>
      <c r="D10" s="19"/>
      <c r="E10" s="21"/>
      <c r="F10" s="22"/>
      <c r="G10" s="22"/>
    </row>
    <row r="11" spans="1:9" ht="15.75">
      <c r="A11" s="15"/>
      <c r="B11" s="19" t="s">
        <v>4</v>
      </c>
      <c r="C11" s="19" t="s">
        <v>5</v>
      </c>
      <c r="D11" s="19"/>
      <c r="E11" s="21"/>
      <c r="F11" s="22"/>
      <c r="G11" s="22"/>
    </row>
    <row r="12" spans="1:9" ht="15.75">
      <c r="A12" s="15"/>
      <c r="B12" s="19"/>
      <c r="C12" s="19" t="s">
        <v>106</v>
      </c>
      <c r="D12" s="19"/>
      <c r="E12" s="21"/>
      <c r="F12" s="22"/>
      <c r="G12" s="22"/>
    </row>
    <row r="13" spans="1:9" ht="4.5" customHeight="1">
      <c r="A13" s="23"/>
      <c r="B13" s="24" t="s">
        <v>6</v>
      </c>
      <c r="C13" s="25"/>
      <c r="D13" s="26"/>
      <c r="E13" s="27"/>
      <c r="F13" s="27"/>
      <c r="G13" s="27"/>
    </row>
    <row r="14" spans="1:9" s="5" customFormat="1" ht="18.75" customHeight="1">
      <c r="A14" s="28" t="s">
        <v>7</v>
      </c>
      <c r="B14" s="28" t="s">
        <v>36</v>
      </c>
      <c r="C14" s="50" t="s">
        <v>28</v>
      </c>
      <c r="D14" s="51"/>
      <c r="E14" s="52"/>
      <c r="F14" s="53" t="s">
        <v>37</v>
      </c>
      <c r="G14" s="54"/>
    </row>
    <row r="15" spans="1:9" s="5" customFormat="1" ht="24.95" customHeight="1">
      <c r="A15" s="29" t="s">
        <v>16</v>
      </c>
      <c r="B15" s="30" t="s">
        <v>46</v>
      </c>
      <c r="C15" s="28" t="s">
        <v>8</v>
      </c>
      <c r="D15" s="28" t="s">
        <v>9</v>
      </c>
      <c r="E15" s="31" t="s">
        <v>10</v>
      </c>
      <c r="F15" s="31" t="s">
        <v>23</v>
      </c>
      <c r="G15" s="31" t="s">
        <v>24</v>
      </c>
    </row>
    <row r="16" spans="1:9" ht="17.25" customHeight="1">
      <c r="A16" s="32">
        <v>1</v>
      </c>
      <c r="B16" s="33" t="s">
        <v>104</v>
      </c>
      <c r="C16" s="34" t="s">
        <v>134</v>
      </c>
      <c r="D16" s="35" t="s">
        <v>11</v>
      </c>
      <c r="E16" s="36">
        <v>1</v>
      </c>
      <c r="F16" s="36"/>
      <c r="G16" s="36">
        <f>F16*E16</f>
        <v>0</v>
      </c>
    </row>
    <row r="17" spans="1:8" ht="17.25" customHeight="1">
      <c r="A17" s="32">
        <v>2</v>
      </c>
      <c r="B17" s="33" t="s">
        <v>86</v>
      </c>
      <c r="C17" s="34" t="s">
        <v>134</v>
      </c>
      <c r="D17" s="35" t="s">
        <v>12</v>
      </c>
      <c r="E17" s="36">
        <v>50</v>
      </c>
      <c r="F17" s="36"/>
      <c r="G17" s="36">
        <f t="shared" ref="G17:G29" si="0">F17*E17</f>
        <v>0</v>
      </c>
    </row>
    <row r="18" spans="1:8" ht="17.25" customHeight="1">
      <c r="A18" s="32">
        <v>3</v>
      </c>
      <c r="B18" s="33" t="s">
        <v>87</v>
      </c>
      <c r="C18" s="34" t="s">
        <v>134</v>
      </c>
      <c r="D18" s="35" t="s">
        <v>12</v>
      </c>
      <c r="E18" s="36">
        <v>10</v>
      </c>
      <c r="F18" s="36"/>
      <c r="G18" s="36">
        <f t="shared" si="0"/>
        <v>0</v>
      </c>
    </row>
    <row r="19" spans="1:8" ht="17.25" customHeight="1">
      <c r="A19" s="32">
        <v>4</v>
      </c>
      <c r="B19" s="33" t="s">
        <v>73</v>
      </c>
      <c r="C19" s="34" t="s">
        <v>134</v>
      </c>
      <c r="D19" s="35" t="s">
        <v>12</v>
      </c>
      <c r="E19" s="36">
        <v>7</v>
      </c>
      <c r="F19" s="36"/>
      <c r="G19" s="36">
        <f t="shared" si="0"/>
        <v>0</v>
      </c>
    </row>
    <row r="20" spans="1:8" ht="17.25" customHeight="1">
      <c r="A20" s="32">
        <v>5</v>
      </c>
      <c r="B20" s="37" t="s">
        <v>89</v>
      </c>
      <c r="C20" s="34" t="s">
        <v>134</v>
      </c>
      <c r="D20" s="35" t="s">
        <v>12</v>
      </c>
      <c r="E20" s="36">
        <v>7</v>
      </c>
      <c r="F20" s="36"/>
      <c r="G20" s="36">
        <f t="shared" si="0"/>
        <v>0</v>
      </c>
    </row>
    <row r="21" spans="1:8" ht="34.5" customHeight="1">
      <c r="A21" s="32">
        <v>6</v>
      </c>
      <c r="B21" s="33" t="s">
        <v>136</v>
      </c>
      <c r="C21" s="34" t="s">
        <v>135</v>
      </c>
      <c r="D21" s="35" t="s">
        <v>14</v>
      </c>
      <c r="E21" s="36">
        <v>500</v>
      </c>
      <c r="F21" s="36"/>
      <c r="G21" s="36">
        <f t="shared" si="0"/>
        <v>0</v>
      </c>
    </row>
    <row r="22" spans="1:8" ht="17.25" customHeight="1">
      <c r="A22" s="32">
        <v>7</v>
      </c>
      <c r="B22" s="33" t="s">
        <v>137</v>
      </c>
      <c r="C22" s="34" t="s">
        <v>135</v>
      </c>
      <c r="D22" s="35" t="s">
        <v>14</v>
      </c>
      <c r="E22" s="36">
        <v>500</v>
      </c>
      <c r="F22" s="36"/>
      <c r="G22" s="36">
        <f t="shared" si="0"/>
        <v>0</v>
      </c>
    </row>
    <row r="23" spans="1:8" ht="27.75" customHeight="1">
      <c r="A23" s="32">
        <v>8</v>
      </c>
      <c r="B23" s="33" t="s">
        <v>138</v>
      </c>
      <c r="C23" s="34" t="s">
        <v>135</v>
      </c>
      <c r="D23" s="35" t="s">
        <v>14</v>
      </c>
      <c r="E23" s="36">
        <v>400</v>
      </c>
      <c r="F23" s="36"/>
      <c r="G23" s="36">
        <f t="shared" si="0"/>
        <v>0</v>
      </c>
    </row>
    <row r="24" spans="1:8" ht="23.25" customHeight="1">
      <c r="A24" s="32">
        <v>9</v>
      </c>
      <c r="B24" s="33" t="s">
        <v>139</v>
      </c>
      <c r="C24" s="34" t="s">
        <v>88</v>
      </c>
      <c r="D24" s="35" t="s">
        <v>14</v>
      </c>
      <c r="E24" s="36">
        <v>400</v>
      </c>
      <c r="F24" s="36"/>
      <c r="G24" s="36">
        <f t="shared" si="0"/>
        <v>0</v>
      </c>
    </row>
    <row r="25" spans="1:8" ht="23.25" customHeight="1">
      <c r="A25" s="32">
        <v>10</v>
      </c>
      <c r="B25" s="33" t="s">
        <v>107</v>
      </c>
      <c r="C25" s="34" t="s">
        <v>110</v>
      </c>
      <c r="D25" s="35" t="s">
        <v>12</v>
      </c>
      <c r="E25" s="36">
        <v>8</v>
      </c>
      <c r="F25" s="36"/>
      <c r="G25" s="36">
        <f t="shared" si="0"/>
        <v>0</v>
      </c>
    </row>
    <row r="26" spans="1:8" ht="23.25" customHeight="1">
      <c r="A26" s="32">
        <v>11</v>
      </c>
      <c r="B26" s="33" t="s">
        <v>108</v>
      </c>
      <c r="C26" s="34" t="s">
        <v>110</v>
      </c>
      <c r="D26" s="35" t="s">
        <v>12</v>
      </c>
      <c r="E26" s="36">
        <v>8</v>
      </c>
      <c r="F26" s="36"/>
      <c r="G26" s="36">
        <f t="shared" si="0"/>
        <v>0</v>
      </c>
    </row>
    <row r="27" spans="1:8" ht="23.25" customHeight="1">
      <c r="A27" s="32">
        <v>12</v>
      </c>
      <c r="B27" s="33" t="s">
        <v>109</v>
      </c>
      <c r="C27" s="34" t="s">
        <v>111</v>
      </c>
      <c r="D27" s="35" t="s">
        <v>14</v>
      </c>
      <c r="E27" s="36">
        <v>200</v>
      </c>
      <c r="F27" s="36"/>
      <c r="G27" s="36">
        <f t="shared" si="0"/>
        <v>0</v>
      </c>
    </row>
    <row r="28" spans="1:8" ht="28.5" customHeight="1">
      <c r="A28" s="32">
        <v>13</v>
      </c>
      <c r="B28" s="33" t="s">
        <v>79</v>
      </c>
      <c r="C28" s="34" t="s">
        <v>88</v>
      </c>
      <c r="D28" s="35" t="s">
        <v>15</v>
      </c>
      <c r="E28" s="36">
        <v>1</v>
      </c>
      <c r="F28" s="36"/>
      <c r="G28" s="36">
        <f t="shared" si="0"/>
        <v>0</v>
      </c>
    </row>
    <row r="29" spans="1:8" ht="29.25" customHeight="1">
      <c r="A29" s="32">
        <v>14</v>
      </c>
      <c r="B29" s="33" t="s">
        <v>54</v>
      </c>
      <c r="C29" s="34"/>
      <c r="D29" s="35"/>
      <c r="E29" s="36">
        <v>1</v>
      </c>
      <c r="F29" s="36"/>
      <c r="G29" s="36">
        <f t="shared" si="0"/>
        <v>0</v>
      </c>
    </row>
    <row r="30" spans="1:8" ht="24.95" customHeight="1">
      <c r="A30" s="32"/>
      <c r="B30" s="55" t="s">
        <v>34</v>
      </c>
      <c r="C30" s="56"/>
      <c r="D30" s="56"/>
      <c r="E30" s="56"/>
      <c r="F30" s="57"/>
      <c r="G30" s="38">
        <f>SUM(G16:G29)</f>
        <v>0</v>
      </c>
    </row>
    <row r="31" spans="1:8" s="5" customFormat="1" ht="24.95" customHeight="1">
      <c r="A31" s="29" t="s">
        <v>32</v>
      </c>
      <c r="B31" s="39" t="s">
        <v>38</v>
      </c>
      <c r="C31" s="28" t="s">
        <v>8</v>
      </c>
      <c r="D31" s="28" t="s">
        <v>9</v>
      </c>
      <c r="E31" s="31" t="s">
        <v>10</v>
      </c>
      <c r="F31" s="31" t="s">
        <v>23</v>
      </c>
      <c r="G31" s="31" t="s">
        <v>24</v>
      </c>
    </row>
    <row r="32" spans="1:8" ht="24.75" customHeight="1">
      <c r="A32" s="32">
        <v>1</v>
      </c>
      <c r="B32" s="33" t="s">
        <v>40</v>
      </c>
      <c r="C32" s="34" t="s">
        <v>75</v>
      </c>
      <c r="D32" s="35" t="s">
        <v>14</v>
      </c>
      <c r="E32" s="36">
        <v>70</v>
      </c>
      <c r="F32" s="36"/>
      <c r="G32" s="36">
        <f t="shared" ref="G32:G82" si="1">F32*E32</f>
        <v>0</v>
      </c>
      <c r="H32" s="48"/>
    </row>
    <row r="33" spans="1:8" ht="24.75" customHeight="1">
      <c r="A33" s="32">
        <v>2</v>
      </c>
      <c r="B33" s="33" t="s">
        <v>83</v>
      </c>
      <c r="C33" s="34" t="s">
        <v>75</v>
      </c>
      <c r="D33" s="35" t="s">
        <v>14</v>
      </c>
      <c r="E33" s="36">
        <v>36</v>
      </c>
      <c r="F33" s="40"/>
      <c r="G33" s="36">
        <f t="shared" si="1"/>
        <v>0</v>
      </c>
    </row>
    <row r="34" spans="1:8" ht="24.75" customHeight="1">
      <c r="A34" s="32">
        <v>3</v>
      </c>
      <c r="B34" s="33" t="s">
        <v>84</v>
      </c>
      <c r="C34" s="34" t="s">
        <v>75</v>
      </c>
      <c r="D34" s="35" t="s">
        <v>14</v>
      </c>
      <c r="E34" s="36">
        <v>54</v>
      </c>
      <c r="F34" s="40"/>
      <c r="G34" s="36">
        <f t="shared" si="1"/>
        <v>0</v>
      </c>
    </row>
    <row r="35" spans="1:8" ht="24.75" customHeight="1">
      <c r="A35" s="32">
        <v>4</v>
      </c>
      <c r="B35" s="33" t="s">
        <v>76</v>
      </c>
      <c r="C35" s="41" t="s">
        <v>13</v>
      </c>
      <c r="D35" s="35" t="s">
        <v>14</v>
      </c>
      <c r="E35" s="36">
        <v>24</v>
      </c>
      <c r="F35" s="40"/>
      <c r="G35" s="36">
        <f t="shared" si="1"/>
        <v>0</v>
      </c>
    </row>
    <row r="36" spans="1:8" ht="26.1" customHeight="1">
      <c r="A36" s="32">
        <v>5</v>
      </c>
      <c r="B36" s="37" t="s">
        <v>74</v>
      </c>
      <c r="C36" s="41" t="s">
        <v>92</v>
      </c>
      <c r="D36" s="32" t="s">
        <v>12</v>
      </c>
      <c r="E36" s="36">
        <v>1</v>
      </c>
      <c r="F36" s="36"/>
      <c r="G36" s="36">
        <f t="shared" si="1"/>
        <v>0</v>
      </c>
    </row>
    <row r="37" spans="1:8" ht="32.450000000000003" customHeight="1">
      <c r="A37" s="32">
        <v>6</v>
      </c>
      <c r="B37" s="37" t="s">
        <v>57</v>
      </c>
      <c r="C37" s="41" t="s">
        <v>92</v>
      </c>
      <c r="D37" s="32" t="s">
        <v>12</v>
      </c>
      <c r="E37" s="36">
        <v>1</v>
      </c>
      <c r="F37" s="36"/>
      <c r="G37" s="36">
        <f t="shared" si="1"/>
        <v>0</v>
      </c>
    </row>
    <row r="38" spans="1:8" ht="21" customHeight="1">
      <c r="A38" s="32">
        <v>7</v>
      </c>
      <c r="B38" s="37" t="s">
        <v>90</v>
      </c>
      <c r="C38" s="41" t="s">
        <v>91</v>
      </c>
      <c r="D38" s="32" t="s">
        <v>12</v>
      </c>
      <c r="E38" s="36">
        <v>22</v>
      </c>
      <c r="F38" s="36"/>
      <c r="G38" s="36">
        <f t="shared" si="1"/>
        <v>0</v>
      </c>
      <c r="H38" s="48"/>
    </row>
    <row r="39" spans="1:8" ht="24.75" customHeight="1">
      <c r="A39" s="32">
        <v>8</v>
      </c>
      <c r="B39" s="37" t="s">
        <v>58</v>
      </c>
      <c r="C39" s="34" t="s">
        <v>13</v>
      </c>
      <c r="D39" s="35" t="s">
        <v>11</v>
      </c>
      <c r="E39" s="36">
        <v>1</v>
      </c>
      <c r="F39" s="36"/>
      <c r="G39" s="36">
        <f t="shared" si="1"/>
        <v>0</v>
      </c>
    </row>
    <row r="40" spans="1:8" ht="24.75" customHeight="1">
      <c r="A40" s="32">
        <v>9</v>
      </c>
      <c r="B40" s="37" t="s">
        <v>64</v>
      </c>
      <c r="C40" s="34" t="s">
        <v>13</v>
      </c>
      <c r="D40" s="35" t="s">
        <v>12</v>
      </c>
      <c r="E40" s="36">
        <v>30</v>
      </c>
      <c r="F40" s="36"/>
      <c r="G40" s="36">
        <f t="shared" si="1"/>
        <v>0</v>
      </c>
    </row>
    <row r="41" spans="1:8" ht="24.75" customHeight="1">
      <c r="A41" s="32">
        <v>10</v>
      </c>
      <c r="B41" s="37" t="s">
        <v>66</v>
      </c>
      <c r="C41" s="34" t="s">
        <v>13</v>
      </c>
      <c r="D41" s="35" t="s">
        <v>12</v>
      </c>
      <c r="E41" s="36">
        <v>18</v>
      </c>
      <c r="F41" s="36"/>
      <c r="G41" s="36">
        <f t="shared" si="1"/>
        <v>0</v>
      </c>
    </row>
    <row r="42" spans="1:8" ht="24.75" customHeight="1">
      <c r="A42" s="32">
        <v>11</v>
      </c>
      <c r="B42" s="37" t="s">
        <v>67</v>
      </c>
      <c r="C42" s="34" t="s">
        <v>13</v>
      </c>
      <c r="D42" s="35" t="s">
        <v>12</v>
      </c>
      <c r="E42" s="36">
        <v>7</v>
      </c>
      <c r="F42" s="36"/>
      <c r="G42" s="36">
        <f t="shared" si="1"/>
        <v>0</v>
      </c>
    </row>
    <row r="43" spans="1:8" ht="24.75" customHeight="1">
      <c r="A43" s="32">
        <v>12</v>
      </c>
      <c r="B43" s="37" t="s">
        <v>65</v>
      </c>
      <c r="C43" s="34" t="s">
        <v>13</v>
      </c>
      <c r="D43" s="35" t="s">
        <v>12</v>
      </c>
      <c r="E43" s="36">
        <v>18</v>
      </c>
      <c r="F43" s="36"/>
      <c r="G43" s="36">
        <f t="shared" si="1"/>
        <v>0</v>
      </c>
    </row>
    <row r="44" spans="1:8" ht="24.75" customHeight="1">
      <c r="A44" s="32">
        <v>13</v>
      </c>
      <c r="B44" s="37" t="s">
        <v>52</v>
      </c>
      <c r="C44" s="41" t="s">
        <v>95</v>
      </c>
      <c r="D44" s="35" t="s">
        <v>12</v>
      </c>
      <c r="E44" s="36">
        <v>2</v>
      </c>
      <c r="F44" s="36"/>
      <c r="G44" s="36">
        <f t="shared" si="1"/>
        <v>0</v>
      </c>
    </row>
    <row r="45" spans="1:8" ht="24.75" customHeight="1">
      <c r="A45" s="32">
        <v>14</v>
      </c>
      <c r="B45" s="37" t="s">
        <v>60</v>
      </c>
      <c r="C45" s="41" t="s">
        <v>88</v>
      </c>
      <c r="D45" s="35" t="s">
        <v>12</v>
      </c>
      <c r="E45" s="36">
        <v>4</v>
      </c>
      <c r="F45" s="36"/>
      <c r="G45" s="36">
        <f t="shared" si="1"/>
        <v>0</v>
      </c>
    </row>
    <row r="46" spans="1:8" ht="24.75" customHeight="1">
      <c r="A46" s="32">
        <v>15</v>
      </c>
      <c r="B46" s="37" t="s">
        <v>93</v>
      </c>
      <c r="C46" s="41" t="s">
        <v>88</v>
      </c>
      <c r="D46" s="35" t="s">
        <v>12</v>
      </c>
      <c r="E46" s="36">
        <v>1</v>
      </c>
      <c r="F46" s="36"/>
      <c r="G46" s="36">
        <f t="shared" si="1"/>
        <v>0</v>
      </c>
    </row>
    <row r="47" spans="1:8" ht="24.75" customHeight="1">
      <c r="A47" s="32">
        <v>16</v>
      </c>
      <c r="B47" s="37" t="s">
        <v>47</v>
      </c>
      <c r="C47" s="41" t="s">
        <v>29</v>
      </c>
      <c r="D47" s="35" t="s">
        <v>12</v>
      </c>
      <c r="E47" s="36">
        <v>1</v>
      </c>
      <c r="F47" s="36"/>
      <c r="G47" s="36">
        <f t="shared" si="1"/>
        <v>0</v>
      </c>
    </row>
    <row r="48" spans="1:8" ht="24.75" customHeight="1">
      <c r="A48" s="32">
        <v>17</v>
      </c>
      <c r="B48" s="37" t="s">
        <v>59</v>
      </c>
      <c r="C48" s="41" t="s">
        <v>88</v>
      </c>
      <c r="D48" s="35" t="s">
        <v>12</v>
      </c>
      <c r="E48" s="36">
        <v>1</v>
      </c>
      <c r="F48" s="36"/>
      <c r="G48" s="36">
        <f t="shared" si="1"/>
        <v>0</v>
      </c>
    </row>
    <row r="49" spans="1:7" ht="24.75" customHeight="1">
      <c r="A49" s="32">
        <v>18</v>
      </c>
      <c r="B49" s="37" t="s">
        <v>62</v>
      </c>
      <c r="C49" s="41" t="s">
        <v>88</v>
      </c>
      <c r="D49" s="35" t="s">
        <v>12</v>
      </c>
      <c r="E49" s="36">
        <v>1</v>
      </c>
      <c r="F49" s="36"/>
      <c r="G49" s="36">
        <f t="shared" si="1"/>
        <v>0</v>
      </c>
    </row>
    <row r="50" spans="1:7" ht="24.75" customHeight="1">
      <c r="A50" s="32">
        <v>19</v>
      </c>
      <c r="B50" s="37" t="s">
        <v>94</v>
      </c>
      <c r="C50" s="41" t="s">
        <v>88</v>
      </c>
      <c r="D50" s="35" t="s">
        <v>12</v>
      </c>
      <c r="E50" s="36">
        <v>2</v>
      </c>
      <c r="F50" s="36"/>
      <c r="G50" s="36">
        <f t="shared" si="1"/>
        <v>0</v>
      </c>
    </row>
    <row r="51" spans="1:7" ht="24.75" customHeight="1">
      <c r="A51" s="32">
        <v>20</v>
      </c>
      <c r="B51" s="37" t="s">
        <v>63</v>
      </c>
      <c r="C51" s="41" t="s">
        <v>88</v>
      </c>
      <c r="D51" s="35" t="s">
        <v>12</v>
      </c>
      <c r="E51" s="36">
        <v>1</v>
      </c>
      <c r="F51" s="36"/>
      <c r="G51" s="36">
        <f t="shared" si="1"/>
        <v>0</v>
      </c>
    </row>
    <row r="52" spans="1:7" ht="24.75" customHeight="1">
      <c r="A52" s="32">
        <v>21</v>
      </c>
      <c r="B52" s="37" t="s">
        <v>48</v>
      </c>
      <c r="C52" s="41" t="s">
        <v>88</v>
      </c>
      <c r="D52" s="35" t="s">
        <v>12</v>
      </c>
      <c r="E52" s="36">
        <v>2</v>
      </c>
      <c r="F52" s="36"/>
      <c r="G52" s="36">
        <f t="shared" si="1"/>
        <v>0</v>
      </c>
    </row>
    <row r="53" spans="1:7" ht="24.75" customHeight="1">
      <c r="A53" s="32">
        <v>22</v>
      </c>
      <c r="B53" s="37" t="s">
        <v>61</v>
      </c>
      <c r="C53" s="41" t="s">
        <v>88</v>
      </c>
      <c r="D53" s="35" t="s">
        <v>12</v>
      </c>
      <c r="E53" s="36">
        <v>2</v>
      </c>
      <c r="F53" s="36"/>
      <c r="G53" s="36">
        <f t="shared" si="1"/>
        <v>0</v>
      </c>
    </row>
    <row r="54" spans="1:7" ht="24.75" customHeight="1">
      <c r="A54" s="32">
        <v>23</v>
      </c>
      <c r="B54" s="37" t="s">
        <v>55</v>
      </c>
      <c r="C54" s="41" t="s">
        <v>88</v>
      </c>
      <c r="D54" s="35" t="s">
        <v>12</v>
      </c>
      <c r="E54" s="36">
        <v>2</v>
      </c>
      <c r="F54" s="36"/>
      <c r="G54" s="36">
        <f t="shared" si="1"/>
        <v>0</v>
      </c>
    </row>
    <row r="55" spans="1:7" ht="24.75" customHeight="1">
      <c r="A55" s="32">
        <v>24</v>
      </c>
      <c r="B55" s="37" t="s">
        <v>30</v>
      </c>
      <c r="C55" s="34" t="s">
        <v>88</v>
      </c>
      <c r="D55" s="35" t="s">
        <v>12</v>
      </c>
      <c r="E55" s="36">
        <v>1</v>
      </c>
      <c r="F55" s="36"/>
      <c r="G55" s="36">
        <f t="shared" si="1"/>
        <v>0</v>
      </c>
    </row>
    <row r="56" spans="1:7" ht="24.75" customHeight="1">
      <c r="A56" s="32">
        <v>25</v>
      </c>
      <c r="B56" s="37" t="s">
        <v>31</v>
      </c>
      <c r="C56" s="34" t="s">
        <v>29</v>
      </c>
      <c r="D56" s="35" t="s">
        <v>11</v>
      </c>
      <c r="E56" s="36">
        <v>1</v>
      </c>
      <c r="F56" s="36"/>
      <c r="G56" s="36">
        <f t="shared" si="1"/>
        <v>0</v>
      </c>
    </row>
    <row r="57" spans="1:7" ht="28.5" customHeight="1">
      <c r="A57" s="32">
        <v>26</v>
      </c>
      <c r="B57" s="33" t="s">
        <v>42</v>
      </c>
      <c r="C57" s="34" t="s">
        <v>13</v>
      </c>
      <c r="D57" s="32" t="s">
        <v>19</v>
      </c>
      <c r="E57" s="36">
        <v>7</v>
      </c>
      <c r="F57" s="36"/>
      <c r="G57" s="36">
        <f t="shared" si="1"/>
        <v>0</v>
      </c>
    </row>
    <row r="58" spans="1:7" ht="28.5" customHeight="1">
      <c r="A58" s="32">
        <v>27</v>
      </c>
      <c r="B58" s="33" t="s">
        <v>43</v>
      </c>
      <c r="C58" s="34" t="s">
        <v>13</v>
      </c>
      <c r="D58" s="35" t="s">
        <v>22</v>
      </c>
      <c r="E58" s="36">
        <v>7</v>
      </c>
      <c r="F58" s="36"/>
      <c r="G58" s="36">
        <f t="shared" si="1"/>
        <v>0</v>
      </c>
    </row>
    <row r="59" spans="1:7" ht="24.75" customHeight="1">
      <c r="A59" s="32">
        <v>28</v>
      </c>
      <c r="B59" s="33" t="s">
        <v>44</v>
      </c>
      <c r="C59" s="34" t="s">
        <v>13</v>
      </c>
      <c r="D59" s="35" t="s">
        <v>12</v>
      </c>
      <c r="E59" s="36">
        <v>7</v>
      </c>
      <c r="F59" s="36"/>
      <c r="G59" s="36">
        <f t="shared" si="1"/>
        <v>0</v>
      </c>
    </row>
    <row r="60" spans="1:7" ht="24.75" customHeight="1">
      <c r="A60" s="32">
        <v>29</v>
      </c>
      <c r="B60" s="33" t="s">
        <v>45</v>
      </c>
      <c r="C60" s="34" t="s">
        <v>13</v>
      </c>
      <c r="D60" s="35" t="s">
        <v>12</v>
      </c>
      <c r="E60" s="36">
        <v>7</v>
      </c>
      <c r="F60" s="36"/>
      <c r="G60" s="36">
        <f t="shared" si="1"/>
        <v>0</v>
      </c>
    </row>
    <row r="61" spans="1:7" ht="24.75" customHeight="1">
      <c r="A61" s="32">
        <v>30</v>
      </c>
      <c r="B61" s="33" t="s">
        <v>50</v>
      </c>
      <c r="C61" s="41" t="s">
        <v>13</v>
      </c>
      <c r="D61" s="35" t="s">
        <v>12</v>
      </c>
      <c r="E61" s="36">
        <v>7</v>
      </c>
      <c r="F61" s="36"/>
      <c r="G61" s="36">
        <f t="shared" si="1"/>
        <v>0</v>
      </c>
    </row>
    <row r="62" spans="1:7" ht="24.75" customHeight="1">
      <c r="A62" s="32">
        <v>31</v>
      </c>
      <c r="B62" s="33" t="s">
        <v>51</v>
      </c>
      <c r="C62" s="41" t="s">
        <v>13</v>
      </c>
      <c r="D62" s="35" t="s">
        <v>12</v>
      </c>
      <c r="E62" s="36">
        <v>25</v>
      </c>
      <c r="F62" s="36"/>
      <c r="G62" s="36">
        <f t="shared" si="1"/>
        <v>0</v>
      </c>
    </row>
    <row r="63" spans="1:7" ht="24.75" customHeight="1">
      <c r="A63" s="32">
        <v>32</v>
      </c>
      <c r="B63" s="33" t="s">
        <v>96</v>
      </c>
      <c r="C63" s="41" t="s">
        <v>13</v>
      </c>
      <c r="D63" s="35" t="s">
        <v>12</v>
      </c>
      <c r="E63" s="36">
        <v>16</v>
      </c>
      <c r="F63" s="36"/>
      <c r="G63" s="36">
        <f t="shared" si="1"/>
        <v>0</v>
      </c>
    </row>
    <row r="64" spans="1:7" ht="24.75" customHeight="1">
      <c r="A64" s="32">
        <v>33</v>
      </c>
      <c r="B64" s="33" t="s">
        <v>97</v>
      </c>
      <c r="C64" s="41" t="s">
        <v>13</v>
      </c>
      <c r="D64" s="35" t="s">
        <v>12</v>
      </c>
      <c r="E64" s="36">
        <v>6</v>
      </c>
      <c r="F64" s="36"/>
      <c r="G64" s="36">
        <f t="shared" si="1"/>
        <v>0</v>
      </c>
    </row>
    <row r="65" spans="1:7" ht="24.75" customHeight="1">
      <c r="A65" s="32">
        <v>34</v>
      </c>
      <c r="B65" s="33" t="s">
        <v>49</v>
      </c>
      <c r="C65" s="41" t="s">
        <v>13</v>
      </c>
      <c r="D65" s="35" t="s">
        <v>12</v>
      </c>
      <c r="E65" s="36">
        <v>2</v>
      </c>
      <c r="F65" s="36"/>
      <c r="G65" s="36">
        <f t="shared" si="1"/>
        <v>0</v>
      </c>
    </row>
    <row r="66" spans="1:7" ht="24.75" customHeight="1">
      <c r="A66" s="32">
        <v>35</v>
      </c>
      <c r="B66" s="33" t="s">
        <v>41</v>
      </c>
      <c r="C66" s="41" t="s">
        <v>13</v>
      </c>
      <c r="D66" s="35" t="s">
        <v>12</v>
      </c>
      <c r="E66" s="36">
        <v>6</v>
      </c>
      <c r="F66" s="36"/>
      <c r="G66" s="36">
        <f t="shared" si="1"/>
        <v>0</v>
      </c>
    </row>
    <row r="67" spans="1:7" ht="24.75" customHeight="1">
      <c r="A67" s="32">
        <v>36</v>
      </c>
      <c r="B67" s="33" t="s">
        <v>98</v>
      </c>
      <c r="C67" s="41" t="s">
        <v>13</v>
      </c>
      <c r="D67" s="35" t="s">
        <v>11</v>
      </c>
      <c r="E67" s="36">
        <v>6</v>
      </c>
      <c r="F67" s="36"/>
      <c r="G67" s="36">
        <f t="shared" si="1"/>
        <v>0</v>
      </c>
    </row>
    <row r="68" spans="1:7" ht="24.75" customHeight="1">
      <c r="A68" s="32">
        <v>37</v>
      </c>
      <c r="B68" s="33" t="s">
        <v>99</v>
      </c>
      <c r="C68" s="41" t="s">
        <v>13</v>
      </c>
      <c r="D68" s="35" t="s">
        <v>11</v>
      </c>
      <c r="E68" s="36">
        <v>2</v>
      </c>
      <c r="F68" s="36"/>
      <c r="G68" s="36">
        <f t="shared" si="1"/>
        <v>0</v>
      </c>
    </row>
    <row r="69" spans="1:7" ht="24.75" customHeight="1">
      <c r="A69" s="32">
        <v>38</v>
      </c>
      <c r="B69" s="33" t="s">
        <v>56</v>
      </c>
      <c r="C69" s="41" t="s">
        <v>13</v>
      </c>
      <c r="D69" s="35" t="s">
        <v>11</v>
      </c>
      <c r="E69" s="36">
        <v>25</v>
      </c>
      <c r="F69" s="36"/>
      <c r="G69" s="36">
        <f t="shared" si="1"/>
        <v>0</v>
      </c>
    </row>
    <row r="70" spans="1:7" ht="24.75" customHeight="1">
      <c r="A70" s="32">
        <v>39</v>
      </c>
      <c r="B70" s="33" t="s">
        <v>100</v>
      </c>
      <c r="C70" s="41" t="s">
        <v>13</v>
      </c>
      <c r="D70" s="35" t="s">
        <v>11</v>
      </c>
      <c r="E70" s="36">
        <v>15</v>
      </c>
      <c r="F70" s="36"/>
      <c r="G70" s="36">
        <f t="shared" si="1"/>
        <v>0</v>
      </c>
    </row>
    <row r="71" spans="1:7" ht="24.75" customHeight="1">
      <c r="A71" s="32">
        <v>40</v>
      </c>
      <c r="B71" s="33" t="s">
        <v>80</v>
      </c>
      <c r="C71" s="41" t="s">
        <v>13</v>
      </c>
      <c r="D71" s="35" t="s">
        <v>11</v>
      </c>
      <c r="E71" s="36">
        <v>20</v>
      </c>
      <c r="F71" s="36"/>
      <c r="G71" s="36">
        <f t="shared" si="1"/>
        <v>0</v>
      </c>
    </row>
    <row r="72" spans="1:7" ht="24.75" customHeight="1">
      <c r="A72" s="32">
        <v>41</v>
      </c>
      <c r="B72" s="33" t="s">
        <v>21</v>
      </c>
      <c r="C72" s="41" t="s">
        <v>13</v>
      </c>
      <c r="D72" s="35" t="s">
        <v>22</v>
      </c>
      <c r="E72" s="36">
        <v>20</v>
      </c>
      <c r="F72" s="36"/>
      <c r="G72" s="36">
        <f t="shared" si="1"/>
        <v>0</v>
      </c>
    </row>
    <row r="73" spans="1:7" ht="24.75" customHeight="1">
      <c r="A73" s="32">
        <v>42</v>
      </c>
      <c r="B73" s="33" t="s">
        <v>20</v>
      </c>
      <c r="C73" s="41" t="s">
        <v>13</v>
      </c>
      <c r="D73" s="35" t="s">
        <v>18</v>
      </c>
      <c r="E73" s="36">
        <v>2</v>
      </c>
      <c r="F73" s="36"/>
      <c r="G73" s="36">
        <f t="shared" si="1"/>
        <v>0</v>
      </c>
    </row>
    <row r="74" spans="1:7" ht="24.75" customHeight="1">
      <c r="A74" s="32">
        <v>43</v>
      </c>
      <c r="B74" s="33" t="s">
        <v>82</v>
      </c>
      <c r="C74" s="41" t="s">
        <v>13</v>
      </c>
      <c r="D74" s="35" t="s">
        <v>53</v>
      </c>
      <c r="E74" s="36">
        <v>4</v>
      </c>
      <c r="F74" s="36"/>
      <c r="G74" s="36">
        <f t="shared" si="1"/>
        <v>0</v>
      </c>
    </row>
    <row r="75" spans="1:7" ht="24.75" customHeight="1">
      <c r="A75" s="32">
        <v>44</v>
      </c>
      <c r="B75" s="33" t="s">
        <v>17</v>
      </c>
      <c r="C75" s="41" t="s">
        <v>13</v>
      </c>
      <c r="D75" s="35" t="s">
        <v>18</v>
      </c>
      <c r="E75" s="36">
        <v>3</v>
      </c>
      <c r="F75" s="36"/>
      <c r="G75" s="36">
        <f t="shared" si="1"/>
        <v>0</v>
      </c>
    </row>
    <row r="76" spans="1:7" ht="34.5" customHeight="1">
      <c r="A76" s="32">
        <v>45</v>
      </c>
      <c r="B76" s="33" t="s">
        <v>77</v>
      </c>
      <c r="C76" s="34" t="s">
        <v>13</v>
      </c>
      <c r="D76" s="35" t="s">
        <v>14</v>
      </c>
      <c r="E76" s="36">
        <v>49</v>
      </c>
      <c r="F76" s="36"/>
      <c r="G76" s="36">
        <f t="shared" si="1"/>
        <v>0</v>
      </c>
    </row>
    <row r="77" spans="1:7" ht="34.5" customHeight="1">
      <c r="A77" s="32">
        <v>46</v>
      </c>
      <c r="B77" s="33" t="s">
        <v>81</v>
      </c>
      <c r="C77" s="34" t="s">
        <v>13</v>
      </c>
      <c r="D77" s="35" t="s">
        <v>14</v>
      </c>
      <c r="E77" s="36">
        <v>29</v>
      </c>
      <c r="F77" s="36"/>
      <c r="G77" s="36">
        <f t="shared" si="1"/>
        <v>0</v>
      </c>
    </row>
    <row r="78" spans="1:7" ht="34.5" customHeight="1">
      <c r="A78" s="32">
        <v>47</v>
      </c>
      <c r="B78" s="33" t="s">
        <v>101</v>
      </c>
      <c r="C78" s="34"/>
      <c r="D78" s="35"/>
      <c r="E78" s="36">
        <v>1</v>
      </c>
      <c r="F78" s="36"/>
      <c r="G78" s="36">
        <f>F78*E78</f>
        <v>0</v>
      </c>
    </row>
    <row r="79" spans="1:7" ht="34.5" customHeight="1">
      <c r="A79" s="32">
        <v>48</v>
      </c>
      <c r="B79" s="33" t="s">
        <v>128</v>
      </c>
      <c r="C79" s="34" t="s">
        <v>129</v>
      </c>
      <c r="D79" s="35"/>
      <c r="E79" s="36">
        <v>7</v>
      </c>
      <c r="F79" s="36"/>
      <c r="G79" s="36">
        <f t="shared" si="1"/>
        <v>0</v>
      </c>
    </row>
    <row r="80" spans="1:7" ht="34.5" customHeight="1">
      <c r="A80" s="32">
        <v>49</v>
      </c>
      <c r="B80" s="33" t="s">
        <v>130</v>
      </c>
      <c r="C80" s="34" t="s">
        <v>129</v>
      </c>
      <c r="D80" s="35"/>
      <c r="E80" s="36">
        <v>7</v>
      </c>
      <c r="F80" s="36"/>
      <c r="G80" s="36">
        <f>F80*E80</f>
        <v>0</v>
      </c>
    </row>
    <row r="81" spans="1:7" ht="34.5" customHeight="1">
      <c r="A81" s="32">
        <v>50</v>
      </c>
      <c r="B81" s="33" t="s">
        <v>131</v>
      </c>
      <c r="C81" s="34" t="s">
        <v>111</v>
      </c>
      <c r="D81" s="35"/>
      <c r="E81" s="36">
        <v>7</v>
      </c>
      <c r="F81" s="36"/>
      <c r="G81" s="36">
        <f t="shared" si="1"/>
        <v>0</v>
      </c>
    </row>
    <row r="82" spans="1:7" ht="19.5" customHeight="1">
      <c r="A82" s="32">
        <v>51</v>
      </c>
      <c r="B82" s="33" t="s">
        <v>54</v>
      </c>
      <c r="C82" s="34"/>
      <c r="D82" s="35"/>
      <c r="E82" s="36">
        <v>1</v>
      </c>
      <c r="F82" s="36"/>
      <c r="G82" s="36">
        <f t="shared" si="1"/>
        <v>0</v>
      </c>
    </row>
    <row r="83" spans="1:7" ht="30" customHeight="1">
      <c r="A83" s="32"/>
      <c r="B83" s="55" t="s">
        <v>25</v>
      </c>
      <c r="C83" s="56"/>
      <c r="D83" s="56"/>
      <c r="E83" s="56"/>
      <c r="F83" s="57"/>
      <c r="G83" s="42">
        <f>SUM(G32:G82)</f>
        <v>0</v>
      </c>
    </row>
    <row r="84" spans="1:7" ht="24.95" customHeight="1">
      <c r="A84" s="29" t="s">
        <v>33</v>
      </c>
      <c r="B84" s="39" t="s">
        <v>122</v>
      </c>
      <c r="C84" s="28" t="s">
        <v>8</v>
      </c>
      <c r="D84" s="28" t="s">
        <v>9</v>
      </c>
      <c r="E84" s="31" t="s">
        <v>10</v>
      </c>
      <c r="F84" s="31" t="s">
        <v>23</v>
      </c>
      <c r="G84" s="31" t="s">
        <v>24</v>
      </c>
    </row>
    <row r="85" spans="1:7" ht="21.75" customHeight="1">
      <c r="A85" s="32">
        <v>1</v>
      </c>
      <c r="B85" s="33" t="s">
        <v>112</v>
      </c>
      <c r="C85" s="41" t="s">
        <v>113</v>
      </c>
      <c r="D85" s="35" t="s">
        <v>114</v>
      </c>
      <c r="E85" s="36">
        <v>1</v>
      </c>
      <c r="F85" s="36"/>
      <c r="G85" s="36">
        <f t="shared" ref="G85:G92" si="2">F85*E85</f>
        <v>0</v>
      </c>
    </row>
    <row r="86" spans="1:7" ht="21.75" customHeight="1">
      <c r="A86" s="32">
        <v>2</v>
      </c>
      <c r="B86" s="33" t="s">
        <v>115</v>
      </c>
      <c r="C86" s="41" t="s">
        <v>102</v>
      </c>
      <c r="D86" s="35" t="s">
        <v>14</v>
      </c>
      <c r="E86" s="36">
        <v>5</v>
      </c>
      <c r="F86" s="36"/>
      <c r="G86" s="36">
        <f t="shared" si="2"/>
        <v>0</v>
      </c>
    </row>
    <row r="87" spans="1:7" ht="21.75" customHeight="1">
      <c r="A87" s="32">
        <v>3</v>
      </c>
      <c r="B87" s="33" t="s">
        <v>116</v>
      </c>
      <c r="C87" s="41" t="s">
        <v>13</v>
      </c>
      <c r="D87" s="35" t="s">
        <v>14</v>
      </c>
      <c r="E87" s="36">
        <v>60</v>
      </c>
      <c r="F87" s="36"/>
      <c r="G87" s="36">
        <f t="shared" si="2"/>
        <v>0</v>
      </c>
    </row>
    <row r="88" spans="1:7" ht="21.75" customHeight="1">
      <c r="A88" s="32">
        <v>4</v>
      </c>
      <c r="B88" s="33" t="s">
        <v>117</v>
      </c>
      <c r="C88" s="41" t="s">
        <v>13</v>
      </c>
      <c r="D88" s="35" t="s">
        <v>14</v>
      </c>
      <c r="E88" s="36">
        <v>2</v>
      </c>
      <c r="F88" s="36"/>
      <c r="G88" s="36">
        <f t="shared" si="2"/>
        <v>0</v>
      </c>
    </row>
    <row r="89" spans="1:7" ht="21.75" customHeight="1">
      <c r="A89" s="32">
        <v>5</v>
      </c>
      <c r="B89" s="33" t="s">
        <v>118</v>
      </c>
      <c r="C89" s="41" t="s">
        <v>13</v>
      </c>
      <c r="D89" s="35" t="s">
        <v>14</v>
      </c>
      <c r="E89" s="36">
        <v>60</v>
      </c>
      <c r="F89" s="36"/>
      <c r="G89" s="36">
        <f t="shared" si="2"/>
        <v>0</v>
      </c>
    </row>
    <row r="90" spans="1:7" ht="21.75" customHeight="1">
      <c r="A90" s="32">
        <v>6</v>
      </c>
      <c r="B90" s="33" t="s">
        <v>119</v>
      </c>
      <c r="C90" s="41" t="s">
        <v>13</v>
      </c>
      <c r="D90" s="35" t="s">
        <v>14</v>
      </c>
      <c r="E90" s="36">
        <v>30</v>
      </c>
      <c r="F90" s="36"/>
      <c r="G90" s="36">
        <f t="shared" si="2"/>
        <v>0</v>
      </c>
    </row>
    <row r="91" spans="1:7" ht="21.75" customHeight="1">
      <c r="A91" s="32">
        <v>7</v>
      </c>
      <c r="B91" s="33" t="s">
        <v>120</v>
      </c>
      <c r="C91" s="41" t="s">
        <v>13</v>
      </c>
      <c r="D91" s="35" t="s">
        <v>11</v>
      </c>
      <c r="E91" s="36">
        <v>1</v>
      </c>
      <c r="F91" s="36"/>
      <c r="G91" s="36">
        <f t="shared" si="2"/>
        <v>0</v>
      </c>
    </row>
    <row r="92" spans="1:7" ht="21.75" customHeight="1">
      <c r="A92" s="32">
        <v>8</v>
      </c>
      <c r="B92" s="33" t="s">
        <v>121</v>
      </c>
      <c r="C92" s="41" t="s">
        <v>13</v>
      </c>
      <c r="D92" s="35" t="s">
        <v>15</v>
      </c>
      <c r="E92" s="36">
        <v>1</v>
      </c>
      <c r="F92" s="36"/>
      <c r="G92" s="36">
        <f t="shared" si="2"/>
        <v>0</v>
      </c>
    </row>
    <row r="93" spans="1:7" ht="21.75" customHeight="1">
      <c r="A93" s="32">
        <v>9</v>
      </c>
      <c r="B93" s="33" t="s">
        <v>125</v>
      </c>
      <c r="C93" s="41"/>
      <c r="D93" s="35"/>
      <c r="E93" s="36">
        <v>1</v>
      </c>
      <c r="F93" s="36"/>
      <c r="G93" s="36">
        <f>F93*E93</f>
        <v>0</v>
      </c>
    </row>
    <row r="94" spans="1:7" ht="21.75" customHeight="1">
      <c r="A94" s="32"/>
      <c r="B94" s="33" t="s">
        <v>126</v>
      </c>
      <c r="C94" s="41"/>
      <c r="D94" s="35"/>
      <c r="E94" s="36"/>
      <c r="F94" s="36"/>
      <c r="G94" s="36"/>
    </row>
    <row r="95" spans="1:7" ht="43.5" customHeight="1">
      <c r="A95" s="32">
        <v>1</v>
      </c>
      <c r="B95" s="33" t="s">
        <v>132</v>
      </c>
      <c r="C95" s="41" t="s">
        <v>123</v>
      </c>
      <c r="D95" s="35" t="s">
        <v>12</v>
      </c>
      <c r="E95" s="36">
        <v>1</v>
      </c>
      <c r="F95" s="36"/>
      <c r="G95" s="36">
        <f t="shared" ref="G95:G96" si="3">F95*E95</f>
        <v>0</v>
      </c>
    </row>
    <row r="96" spans="1:7" ht="21.75" customHeight="1">
      <c r="A96" s="32">
        <v>2</v>
      </c>
      <c r="B96" s="33" t="s">
        <v>124</v>
      </c>
      <c r="C96" s="41" t="s">
        <v>102</v>
      </c>
      <c r="D96" s="35" t="s">
        <v>11</v>
      </c>
      <c r="E96" s="36">
        <v>1</v>
      </c>
      <c r="F96" s="36"/>
      <c r="G96" s="36">
        <f t="shared" si="3"/>
        <v>0</v>
      </c>
    </row>
    <row r="97" spans="1:7" ht="21.75" customHeight="1">
      <c r="A97" s="32">
        <v>3</v>
      </c>
      <c r="B97" s="33" t="s">
        <v>54</v>
      </c>
      <c r="C97" s="41"/>
      <c r="D97" s="35" t="s">
        <v>11</v>
      </c>
      <c r="E97" s="36">
        <v>1</v>
      </c>
      <c r="F97" s="36"/>
      <c r="G97" s="36">
        <f t="shared" ref="G97" si="4">F97*E97</f>
        <v>0</v>
      </c>
    </row>
    <row r="98" spans="1:7" ht="21.75" customHeight="1">
      <c r="A98" s="32"/>
      <c r="B98" s="33" t="s">
        <v>127</v>
      </c>
      <c r="C98" s="41"/>
      <c r="D98" s="35"/>
      <c r="E98" s="36"/>
      <c r="F98" s="36"/>
      <c r="G98" s="36"/>
    </row>
    <row r="99" spans="1:7" ht="56.1" customHeight="1">
      <c r="A99" s="32">
        <v>1</v>
      </c>
      <c r="B99" s="33" t="s">
        <v>133</v>
      </c>
      <c r="C99" s="41"/>
      <c r="D99" s="35" t="s">
        <v>11</v>
      </c>
      <c r="E99" s="36">
        <v>1</v>
      </c>
      <c r="F99" s="36"/>
      <c r="G99" s="36">
        <f>F99*E99</f>
        <v>0</v>
      </c>
    </row>
    <row r="100" spans="1:7" ht="18" customHeight="1">
      <c r="A100" s="32"/>
      <c r="B100" s="55" t="s">
        <v>35</v>
      </c>
      <c r="C100" s="56"/>
      <c r="D100" s="56"/>
      <c r="E100" s="56"/>
      <c r="F100" s="57"/>
      <c r="G100" s="43">
        <f>SUM(G85:G99)</f>
        <v>0</v>
      </c>
    </row>
    <row r="101" spans="1:7" ht="14.25" customHeight="1">
      <c r="A101" s="32"/>
      <c r="B101" s="63" t="s">
        <v>72</v>
      </c>
      <c r="C101" s="63"/>
      <c r="D101" s="63"/>
      <c r="E101" s="63"/>
      <c r="F101" s="63"/>
      <c r="G101" s="42">
        <f>G30+G83+G100</f>
        <v>0</v>
      </c>
    </row>
    <row r="102" spans="1:7" ht="21" customHeight="1">
      <c r="A102" s="66" t="s">
        <v>78</v>
      </c>
      <c r="B102" s="66"/>
      <c r="C102" s="66"/>
      <c r="D102" s="66"/>
      <c r="E102" s="66"/>
      <c r="F102" s="66"/>
      <c r="G102" s="66"/>
    </row>
    <row r="103" spans="1:7" ht="1.5" customHeight="1">
      <c r="A103" s="44"/>
      <c r="B103" s="70" t="s">
        <v>71</v>
      </c>
      <c r="C103" s="70"/>
      <c r="D103" s="70"/>
      <c r="E103" s="70"/>
      <c r="F103" s="67"/>
      <c r="G103" s="67"/>
    </row>
    <row r="104" spans="1:7" ht="24" customHeight="1">
      <c r="A104" s="23"/>
      <c r="B104" s="70"/>
      <c r="C104" s="70"/>
      <c r="D104" s="70"/>
      <c r="E104" s="70"/>
      <c r="F104" s="67"/>
      <c r="G104" s="67"/>
    </row>
    <row r="105" spans="1:7" ht="17.25" customHeight="1">
      <c r="A105" s="23"/>
      <c r="B105" s="70"/>
      <c r="C105" s="70"/>
      <c r="D105" s="70"/>
      <c r="E105" s="70"/>
      <c r="F105" s="67"/>
      <c r="G105" s="67"/>
    </row>
    <row r="106" spans="1:7" ht="30.75" customHeight="1">
      <c r="A106" s="45"/>
      <c r="B106" s="46" t="s">
        <v>69</v>
      </c>
      <c r="C106" s="45"/>
      <c r="D106" s="45"/>
      <c r="E106" s="47"/>
      <c r="F106" s="68" t="s">
        <v>39</v>
      </c>
      <c r="G106" s="68"/>
    </row>
    <row r="107" spans="1:7" ht="16.5">
      <c r="A107" s="45"/>
      <c r="B107" s="45"/>
      <c r="C107" s="45"/>
      <c r="D107" s="45"/>
      <c r="E107" s="47"/>
      <c r="F107" s="69" t="s">
        <v>70</v>
      </c>
      <c r="G107" s="69"/>
    </row>
    <row r="108" spans="1:7" ht="16.5">
      <c r="E108" s="7"/>
    </row>
    <row r="109" spans="1:7" ht="24.75" customHeight="1">
      <c r="E109" s="7"/>
      <c r="F109" s="65"/>
      <c r="G109" s="65"/>
    </row>
    <row r="110" spans="1:7" ht="16.5">
      <c r="E110" s="7"/>
      <c r="F110" s="6"/>
      <c r="G110" s="6"/>
    </row>
    <row r="111" spans="1:7" ht="16.5">
      <c r="E111" s="7"/>
      <c r="F111" s="65"/>
      <c r="G111" s="65"/>
    </row>
    <row r="112" spans="1:7" ht="16.5">
      <c r="E112" s="7"/>
      <c r="F112" s="9"/>
      <c r="G112" s="9"/>
    </row>
    <row r="113" spans="5:7" ht="16.5">
      <c r="E113" s="7"/>
      <c r="F113" s="9"/>
      <c r="G113" s="9"/>
    </row>
    <row r="114" spans="5:7" ht="16.5">
      <c r="E114" s="7"/>
      <c r="F114" s="9"/>
      <c r="G114" s="9"/>
    </row>
    <row r="115" spans="5:7" ht="16.5">
      <c r="E115" s="7"/>
      <c r="F115" s="9"/>
      <c r="G115" s="9"/>
    </row>
    <row r="116" spans="5:7" ht="16.5">
      <c r="E116" s="7"/>
      <c r="F116" s="9"/>
      <c r="G116" s="9"/>
    </row>
    <row r="117" spans="5:7" ht="16.5">
      <c r="E117" s="7"/>
      <c r="F117" s="9"/>
      <c r="G117" s="9"/>
    </row>
    <row r="118" spans="5:7" ht="16.5">
      <c r="E118" s="7"/>
      <c r="F118" s="9"/>
      <c r="G118" s="9"/>
    </row>
    <row r="119" spans="5:7" ht="16.5">
      <c r="E119" s="7"/>
      <c r="F119" s="9"/>
      <c r="G119" s="9"/>
    </row>
    <row r="120" spans="5:7" ht="16.5">
      <c r="E120" s="7"/>
      <c r="F120" s="9"/>
      <c r="G120" s="9"/>
    </row>
    <row r="121" spans="5:7" ht="16.5">
      <c r="E121" s="7"/>
      <c r="F121" s="9"/>
      <c r="G121" s="9"/>
    </row>
    <row r="122" spans="5:7" ht="16.5">
      <c r="E122" s="7"/>
      <c r="F122" s="9"/>
      <c r="G122" s="9"/>
    </row>
    <row r="123" spans="5:7" ht="16.5">
      <c r="E123" s="7"/>
      <c r="F123" s="9"/>
      <c r="G123" s="9"/>
    </row>
    <row r="124" spans="5:7" ht="16.5">
      <c r="E124" s="7"/>
      <c r="F124" s="9"/>
      <c r="G124" s="9"/>
    </row>
    <row r="125" spans="5:7" ht="16.5">
      <c r="E125" s="7"/>
      <c r="F125" s="9"/>
      <c r="G125" s="9"/>
    </row>
    <row r="126" spans="5:7" ht="16.5">
      <c r="E126" s="7"/>
      <c r="F126" s="9"/>
      <c r="G126" s="9"/>
    </row>
    <row r="127" spans="5:7" ht="16.5">
      <c r="E127" s="7"/>
      <c r="F127" s="9"/>
      <c r="G127" s="9"/>
    </row>
    <row r="128" spans="5:7" ht="16.5">
      <c r="E128" s="7"/>
      <c r="F128" s="9"/>
      <c r="G128" s="9"/>
    </row>
    <row r="129" spans="5:7" ht="16.5">
      <c r="E129" s="7"/>
      <c r="F129" s="9"/>
      <c r="G129" s="9"/>
    </row>
    <row r="130" spans="5:7" ht="16.5">
      <c r="E130" s="7"/>
      <c r="F130" s="9"/>
      <c r="G130" s="9"/>
    </row>
    <row r="131" spans="5:7" ht="16.5">
      <c r="E131" s="7"/>
      <c r="F131" s="9"/>
      <c r="G131" s="9"/>
    </row>
    <row r="132" spans="5:7" ht="16.5">
      <c r="E132" s="7"/>
      <c r="F132" s="9"/>
      <c r="G132" s="9"/>
    </row>
    <row r="133" spans="5:7" ht="16.5">
      <c r="E133" s="7"/>
      <c r="F133" s="9"/>
      <c r="G133" s="9"/>
    </row>
    <row r="134" spans="5:7" ht="16.5">
      <c r="E134" s="7"/>
      <c r="F134" s="9"/>
      <c r="G134" s="9"/>
    </row>
    <row r="135" spans="5:7" ht="16.5">
      <c r="E135" s="7"/>
      <c r="F135" s="9"/>
      <c r="G135" s="9"/>
    </row>
    <row r="136" spans="5:7" ht="16.5">
      <c r="E136" s="7"/>
      <c r="F136" s="9"/>
      <c r="G136" s="9"/>
    </row>
    <row r="137" spans="5:7" ht="16.5">
      <c r="E137" s="7"/>
      <c r="F137" s="9"/>
      <c r="G137" s="9"/>
    </row>
    <row r="138" spans="5:7" ht="16.5">
      <c r="E138" s="7"/>
      <c r="F138" s="9"/>
      <c r="G138" s="9"/>
    </row>
    <row r="139" spans="5:7" ht="16.5">
      <c r="E139" s="7"/>
      <c r="F139" s="9"/>
      <c r="G139" s="9"/>
    </row>
    <row r="140" spans="5:7" ht="16.5">
      <c r="E140" s="7"/>
      <c r="F140" s="9"/>
      <c r="G140" s="9"/>
    </row>
    <row r="141" spans="5:7" ht="16.5">
      <c r="E141" s="7"/>
      <c r="F141" s="9"/>
      <c r="G141" s="9"/>
    </row>
    <row r="142" spans="5:7" ht="16.5">
      <c r="E142" s="7"/>
      <c r="F142" s="9"/>
      <c r="G142" s="9"/>
    </row>
    <row r="143" spans="5:7" ht="16.5">
      <c r="E143" s="7"/>
      <c r="F143" s="9"/>
      <c r="G143" s="9"/>
    </row>
    <row r="144" spans="5:7" ht="16.5">
      <c r="E144" s="7"/>
      <c r="F144" s="9"/>
      <c r="G144" s="9"/>
    </row>
    <row r="145" spans="5:7" ht="16.5">
      <c r="E145" s="7"/>
      <c r="F145" s="9"/>
      <c r="G145" s="9"/>
    </row>
    <row r="146" spans="5:7" ht="16.5">
      <c r="E146" s="7"/>
      <c r="F146" s="9"/>
      <c r="G146" s="9"/>
    </row>
    <row r="147" spans="5:7" ht="16.5">
      <c r="E147" s="7"/>
      <c r="F147" s="9"/>
      <c r="G147" s="9"/>
    </row>
    <row r="148" spans="5:7" ht="16.5">
      <c r="E148" s="7"/>
      <c r="F148" s="9"/>
      <c r="G148" s="9"/>
    </row>
    <row r="149" spans="5:7" ht="16.5">
      <c r="E149" s="7"/>
      <c r="F149" s="9"/>
      <c r="G149" s="9"/>
    </row>
    <row r="150" spans="5:7" ht="16.5">
      <c r="E150" s="7"/>
      <c r="F150" s="9"/>
      <c r="G150" s="9"/>
    </row>
    <row r="151" spans="5:7" ht="16.5">
      <c r="E151" s="7"/>
      <c r="F151" s="9"/>
      <c r="G151" s="9"/>
    </row>
    <row r="152" spans="5:7" ht="16.5">
      <c r="E152" s="7"/>
      <c r="F152" s="9"/>
      <c r="G152" s="9"/>
    </row>
    <row r="153" spans="5:7" ht="16.5">
      <c r="E153" s="7"/>
      <c r="F153" s="9"/>
      <c r="G153" s="9"/>
    </row>
    <row r="154" spans="5:7" ht="16.5">
      <c r="E154" s="7"/>
      <c r="F154" s="9"/>
      <c r="G154" s="9"/>
    </row>
    <row r="155" spans="5:7" ht="16.5">
      <c r="E155" s="7"/>
      <c r="F155" s="9"/>
      <c r="G155" s="9"/>
    </row>
    <row r="156" spans="5:7" ht="16.5">
      <c r="E156" s="7"/>
      <c r="F156" s="9"/>
      <c r="G156" s="9"/>
    </row>
    <row r="157" spans="5:7" ht="16.5">
      <c r="E157" s="7"/>
      <c r="F157" s="9"/>
      <c r="G157" s="9"/>
    </row>
    <row r="158" spans="5:7" ht="16.5">
      <c r="E158" s="7"/>
      <c r="F158" s="9"/>
      <c r="G158" s="9"/>
    </row>
    <row r="159" spans="5:7" ht="16.5">
      <c r="E159" s="7"/>
      <c r="F159" s="9"/>
      <c r="G159" s="9"/>
    </row>
    <row r="160" spans="5:7" ht="16.5">
      <c r="E160" s="7"/>
      <c r="F160" s="9"/>
      <c r="G160" s="9"/>
    </row>
    <row r="161" spans="5:7" ht="16.5">
      <c r="E161" s="7"/>
      <c r="F161" s="9"/>
      <c r="G161" s="9"/>
    </row>
    <row r="162" spans="5:7" ht="16.5">
      <c r="E162" s="7"/>
      <c r="F162" s="9"/>
      <c r="G162" s="9"/>
    </row>
    <row r="163" spans="5:7" ht="16.5">
      <c r="E163" s="7"/>
      <c r="F163" s="9"/>
      <c r="G163" s="9"/>
    </row>
    <row r="164" spans="5:7" ht="16.5">
      <c r="E164" s="7"/>
      <c r="F164" s="9"/>
      <c r="G164" s="9"/>
    </row>
    <row r="165" spans="5:7" ht="16.5">
      <c r="E165" s="7"/>
      <c r="F165" s="9"/>
      <c r="G165" s="9"/>
    </row>
    <row r="166" spans="5:7" ht="16.5">
      <c r="E166" s="7"/>
      <c r="F166" s="9"/>
      <c r="G166" s="9"/>
    </row>
    <row r="167" spans="5:7" ht="16.5">
      <c r="E167" s="7"/>
      <c r="F167" s="9"/>
      <c r="G167" s="9"/>
    </row>
    <row r="168" spans="5:7" ht="16.5">
      <c r="E168" s="7"/>
      <c r="F168" s="9"/>
      <c r="G168" s="9"/>
    </row>
    <row r="169" spans="5:7" ht="16.5">
      <c r="E169" s="7"/>
      <c r="F169" s="9"/>
      <c r="G169" s="9"/>
    </row>
    <row r="170" spans="5:7" ht="16.5">
      <c r="E170" s="7"/>
      <c r="F170" s="9"/>
      <c r="G170" s="9"/>
    </row>
    <row r="171" spans="5:7" ht="16.5">
      <c r="E171" s="7"/>
      <c r="F171" s="9"/>
      <c r="G171" s="9"/>
    </row>
    <row r="172" spans="5:7" ht="16.5">
      <c r="E172" s="7"/>
      <c r="F172" s="9"/>
      <c r="G172" s="9"/>
    </row>
    <row r="173" spans="5:7" ht="16.5">
      <c r="E173" s="7"/>
      <c r="F173" s="9"/>
      <c r="G173" s="9"/>
    </row>
    <row r="174" spans="5:7" ht="16.5">
      <c r="E174" s="7"/>
      <c r="F174" s="9"/>
      <c r="G174" s="9"/>
    </row>
    <row r="175" spans="5:7" ht="16.5">
      <c r="E175" s="7"/>
      <c r="F175" s="9"/>
      <c r="G175" s="9"/>
    </row>
    <row r="176" spans="5:7" ht="16.5">
      <c r="E176" s="7"/>
      <c r="F176" s="9"/>
      <c r="G176" s="9"/>
    </row>
    <row r="177" spans="5:7" ht="16.5">
      <c r="E177" s="7"/>
      <c r="F177" s="9"/>
      <c r="G177" s="9"/>
    </row>
    <row r="178" spans="5:7" ht="16.5">
      <c r="E178" s="7"/>
      <c r="F178" s="9"/>
      <c r="G178" s="9"/>
    </row>
    <row r="179" spans="5:7" ht="16.5">
      <c r="E179" s="7"/>
      <c r="F179" s="9"/>
      <c r="G179" s="9"/>
    </row>
    <row r="180" spans="5:7" ht="16.5">
      <c r="E180" s="7"/>
      <c r="F180" s="9"/>
      <c r="G180" s="9"/>
    </row>
    <row r="181" spans="5:7" ht="16.5">
      <c r="E181" s="7"/>
      <c r="F181" s="9"/>
      <c r="G181" s="9"/>
    </row>
    <row r="182" spans="5:7" ht="16.5">
      <c r="E182" s="7"/>
      <c r="F182" s="9"/>
      <c r="G182" s="9"/>
    </row>
    <row r="183" spans="5:7" ht="16.5">
      <c r="E183" s="7"/>
      <c r="F183" s="9"/>
      <c r="G183" s="9"/>
    </row>
    <row r="184" spans="5:7" ht="16.5">
      <c r="E184" s="7"/>
      <c r="F184" s="9"/>
      <c r="G184" s="9"/>
    </row>
    <row r="185" spans="5:7" ht="16.5">
      <c r="E185" s="7"/>
      <c r="F185" s="9"/>
      <c r="G185" s="9"/>
    </row>
    <row r="186" spans="5:7" ht="16.5">
      <c r="E186" s="7"/>
      <c r="F186" s="9"/>
      <c r="G186" s="9"/>
    </row>
    <row r="187" spans="5:7" ht="16.5">
      <c r="E187" s="7"/>
      <c r="F187" s="9"/>
      <c r="G187" s="9"/>
    </row>
    <row r="188" spans="5:7" ht="16.5">
      <c r="E188" s="7"/>
      <c r="F188" s="9"/>
      <c r="G188" s="9"/>
    </row>
    <row r="189" spans="5:7" ht="16.5">
      <c r="E189" s="7"/>
      <c r="F189" s="9"/>
      <c r="G189" s="9"/>
    </row>
    <row r="190" spans="5:7" ht="16.5">
      <c r="E190" s="7"/>
      <c r="F190" s="9"/>
      <c r="G190" s="9"/>
    </row>
    <row r="191" spans="5:7" ht="16.5">
      <c r="E191" s="7"/>
      <c r="F191" s="9"/>
      <c r="G191" s="9"/>
    </row>
    <row r="192" spans="5:7" ht="16.5">
      <c r="E192" s="7"/>
      <c r="F192" s="9"/>
      <c r="G192" s="9"/>
    </row>
    <row r="193" spans="5:7" ht="16.5">
      <c r="E193" s="7"/>
      <c r="F193" s="9"/>
      <c r="G193" s="9"/>
    </row>
    <row r="194" spans="5:7" ht="16.5">
      <c r="E194" s="7"/>
      <c r="F194" s="9"/>
      <c r="G194" s="9"/>
    </row>
    <row r="195" spans="5:7" ht="16.5">
      <c r="E195" s="7"/>
      <c r="F195" s="9"/>
      <c r="G195" s="9"/>
    </row>
    <row r="196" spans="5:7" ht="16.5">
      <c r="E196" s="7"/>
      <c r="F196" s="9"/>
      <c r="G196" s="9"/>
    </row>
    <row r="197" spans="5:7" ht="16.5">
      <c r="E197" s="7"/>
      <c r="F197" s="9"/>
      <c r="G197" s="9"/>
    </row>
    <row r="198" spans="5:7" ht="16.5">
      <c r="E198" s="7"/>
      <c r="F198" s="9"/>
      <c r="G198" s="9"/>
    </row>
    <row r="199" spans="5:7" ht="16.5">
      <c r="E199" s="7"/>
      <c r="F199" s="9"/>
      <c r="G199" s="9"/>
    </row>
    <row r="200" spans="5:7" ht="16.5">
      <c r="E200" s="7"/>
      <c r="F200" s="9"/>
      <c r="G200" s="9"/>
    </row>
    <row r="201" spans="5:7" ht="16.5">
      <c r="E201" s="7"/>
      <c r="F201" s="9"/>
      <c r="G201" s="9"/>
    </row>
    <row r="202" spans="5:7" ht="16.5">
      <c r="E202" s="7"/>
      <c r="F202" s="9"/>
      <c r="G202" s="9"/>
    </row>
    <row r="203" spans="5:7" ht="16.5">
      <c r="E203" s="7"/>
      <c r="F203" s="9"/>
      <c r="G203" s="9"/>
    </row>
    <row r="204" spans="5:7" ht="16.5">
      <c r="E204" s="7"/>
      <c r="F204" s="9"/>
      <c r="G204" s="9"/>
    </row>
    <row r="205" spans="5:7" ht="16.5">
      <c r="E205" s="7"/>
      <c r="F205" s="9"/>
      <c r="G205" s="9"/>
    </row>
    <row r="206" spans="5:7" ht="16.5">
      <c r="E206" s="7"/>
      <c r="F206" s="9"/>
      <c r="G206" s="9"/>
    </row>
    <row r="207" spans="5:7" ht="16.5">
      <c r="E207" s="7"/>
      <c r="F207" s="9"/>
      <c r="G207" s="9"/>
    </row>
    <row r="208" spans="5:7" ht="16.5">
      <c r="E208" s="7"/>
      <c r="F208" s="9"/>
      <c r="G208" s="9"/>
    </row>
    <row r="209" spans="5:7" ht="16.5">
      <c r="E209" s="7"/>
      <c r="F209" s="9"/>
      <c r="G209" s="9"/>
    </row>
    <row r="210" spans="5:7" ht="16.5">
      <c r="E210" s="7"/>
      <c r="F210" s="9"/>
      <c r="G210" s="9"/>
    </row>
    <row r="211" spans="5:7" ht="16.5">
      <c r="E211" s="7"/>
      <c r="F211" s="9"/>
      <c r="G211" s="9"/>
    </row>
    <row r="212" spans="5:7" ht="16.5">
      <c r="E212" s="7"/>
      <c r="F212" s="9"/>
      <c r="G212" s="9"/>
    </row>
    <row r="213" spans="5:7" ht="16.5">
      <c r="E213" s="7"/>
      <c r="F213" s="9"/>
      <c r="G213" s="9"/>
    </row>
    <row r="214" spans="5:7" ht="16.5">
      <c r="E214" s="7"/>
      <c r="F214" s="9"/>
      <c r="G214" s="9"/>
    </row>
    <row r="215" spans="5:7" ht="16.5">
      <c r="E215" s="7"/>
      <c r="F215" s="9"/>
      <c r="G215" s="9"/>
    </row>
    <row r="216" spans="5:7" ht="16.5">
      <c r="E216" s="7"/>
      <c r="F216" s="9"/>
      <c r="G216" s="9"/>
    </row>
    <row r="217" spans="5:7" ht="16.5">
      <c r="E217" s="7"/>
      <c r="F217" s="9"/>
      <c r="G217" s="9"/>
    </row>
    <row r="218" spans="5:7" ht="16.5">
      <c r="E218" s="7"/>
      <c r="F218" s="9"/>
      <c r="G218" s="9"/>
    </row>
    <row r="219" spans="5:7" ht="16.5">
      <c r="E219" s="7"/>
      <c r="F219" s="9"/>
      <c r="G219" s="9"/>
    </row>
    <row r="220" spans="5:7" ht="16.5">
      <c r="E220" s="7"/>
      <c r="F220" s="9"/>
      <c r="G220" s="9"/>
    </row>
    <row r="221" spans="5:7" ht="16.5">
      <c r="E221" s="7"/>
      <c r="F221" s="9"/>
      <c r="G221" s="9"/>
    </row>
    <row r="222" spans="5:7" ht="16.5">
      <c r="E222" s="7"/>
      <c r="F222" s="9"/>
      <c r="G222" s="9"/>
    </row>
    <row r="223" spans="5:7" ht="16.5">
      <c r="E223" s="7"/>
      <c r="F223" s="9"/>
      <c r="G223" s="9"/>
    </row>
    <row r="224" spans="5:7" ht="16.5">
      <c r="E224" s="7"/>
      <c r="F224" s="9"/>
      <c r="G224" s="9"/>
    </row>
    <row r="225" spans="5:7" ht="16.5">
      <c r="E225" s="7"/>
      <c r="F225" s="9"/>
      <c r="G225" s="9"/>
    </row>
    <row r="226" spans="5:7" ht="16.5">
      <c r="E226" s="7"/>
      <c r="F226" s="9"/>
      <c r="G226" s="9"/>
    </row>
    <row r="227" spans="5:7" ht="16.5">
      <c r="E227" s="7"/>
      <c r="F227" s="9"/>
      <c r="G227" s="9"/>
    </row>
    <row r="228" spans="5:7" ht="16.5">
      <c r="E228" s="7"/>
      <c r="F228" s="9"/>
      <c r="G228" s="9"/>
    </row>
    <row r="229" spans="5:7" ht="16.5">
      <c r="E229" s="7"/>
      <c r="F229" s="9"/>
      <c r="G229" s="9"/>
    </row>
    <row r="230" spans="5:7" ht="16.5">
      <c r="E230" s="7"/>
      <c r="F230" s="9"/>
      <c r="G230" s="9"/>
    </row>
    <row r="231" spans="5:7" ht="16.5">
      <c r="E231" s="7"/>
      <c r="F231" s="9"/>
      <c r="G231" s="9"/>
    </row>
    <row r="232" spans="5:7" ht="16.5">
      <c r="E232" s="7"/>
      <c r="F232" s="9"/>
      <c r="G232" s="9"/>
    </row>
    <row r="233" spans="5:7" ht="16.5">
      <c r="E233" s="7"/>
      <c r="F233" s="9"/>
      <c r="G233" s="9"/>
    </row>
    <row r="234" spans="5:7" ht="16.5">
      <c r="E234" s="7"/>
      <c r="F234" s="9"/>
      <c r="G234" s="9"/>
    </row>
    <row r="235" spans="5:7" ht="16.5">
      <c r="E235" s="7"/>
      <c r="F235" s="9"/>
      <c r="G235" s="9"/>
    </row>
    <row r="236" spans="5:7" ht="16.5">
      <c r="E236" s="7"/>
      <c r="F236" s="9"/>
      <c r="G236" s="9"/>
    </row>
    <row r="237" spans="5:7" ht="16.5">
      <c r="E237" s="7"/>
      <c r="F237" s="9"/>
      <c r="G237" s="9"/>
    </row>
    <row r="238" spans="5:7" ht="16.5">
      <c r="E238" s="7"/>
      <c r="F238" s="9"/>
      <c r="G238" s="9"/>
    </row>
    <row r="239" spans="5:7" ht="16.5">
      <c r="E239" s="7"/>
      <c r="F239" s="9"/>
      <c r="G239" s="9"/>
    </row>
    <row r="240" spans="5:7" ht="16.5">
      <c r="E240" s="7"/>
      <c r="F240" s="9"/>
      <c r="G240" s="9"/>
    </row>
    <row r="241" spans="5:7" ht="16.5">
      <c r="E241" s="7"/>
      <c r="F241" s="9"/>
      <c r="G241" s="9"/>
    </row>
    <row r="242" spans="5:7" ht="16.5">
      <c r="E242" s="7"/>
      <c r="F242" s="9"/>
      <c r="G242" s="9"/>
    </row>
    <row r="243" spans="5:7" ht="16.5">
      <c r="E243" s="7"/>
      <c r="F243" s="9"/>
      <c r="G243" s="9"/>
    </row>
    <row r="244" spans="5:7" ht="16.5">
      <c r="E244" s="7"/>
      <c r="F244" s="9"/>
      <c r="G244" s="9"/>
    </row>
    <row r="245" spans="5:7" ht="16.5">
      <c r="E245" s="7"/>
      <c r="F245" s="9"/>
      <c r="G245" s="9"/>
    </row>
    <row r="246" spans="5:7" ht="16.5">
      <c r="E246" s="7"/>
      <c r="F246" s="9"/>
      <c r="G246" s="9"/>
    </row>
    <row r="247" spans="5:7" ht="16.5">
      <c r="E247" s="7"/>
      <c r="F247" s="9"/>
      <c r="G247" s="9"/>
    </row>
    <row r="248" spans="5:7" ht="16.5">
      <c r="E248" s="7"/>
      <c r="F248" s="9"/>
      <c r="G248" s="9"/>
    </row>
    <row r="249" spans="5:7" ht="16.5">
      <c r="E249" s="7"/>
      <c r="F249" s="9"/>
      <c r="G249" s="9"/>
    </row>
    <row r="250" spans="5:7" ht="16.5">
      <c r="E250" s="7"/>
      <c r="F250" s="9"/>
      <c r="G250" s="9"/>
    </row>
    <row r="251" spans="5:7" ht="16.5">
      <c r="E251" s="7"/>
      <c r="F251" s="9"/>
      <c r="G251" s="9"/>
    </row>
    <row r="252" spans="5:7" ht="16.5">
      <c r="E252" s="7"/>
      <c r="F252" s="9"/>
      <c r="G252" s="9"/>
    </row>
    <row r="253" spans="5:7" ht="16.5">
      <c r="E253" s="7"/>
      <c r="F253" s="9"/>
      <c r="G253" s="9"/>
    </row>
    <row r="254" spans="5:7" ht="16.5">
      <c r="E254" s="7"/>
      <c r="F254" s="9"/>
      <c r="G254" s="9"/>
    </row>
    <row r="255" spans="5:7" ht="16.5">
      <c r="E255" s="7"/>
      <c r="F255" s="9"/>
      <c r="G255" s="9"/>
    </row>
    <row r="256" spans="5:7" ht="16.5">
      <c r="E256" s="7"/>
      <c r="F256" s="9"/>
      <c r="G256" s="9"/>
    </row>
    <row r="257" spans="5:7" ht="16.5">
      <c r="E257" s="7"/>
      <c r="F257" s="9"/>
      <c r="G257" s="9"/>
    </row>
    <row r="258" spans="5:7" ht="16.5">
      <c r="E258" s="7"/>
      <c r="F258" s="9"/>
      <c r="G258" s="9"/>
    </row>
    <row r="259" spans="5:7" ht="16.5">
      <c r="E259" s="7"/>
      <c r="F259" s="9"/>
      <c r="G259" s="9"/>
    </row>
    <row r="260" spans="5:7" ht="16.5">
      <c r="E260" s="7"/>
      <c r="F260" s="9"/>
      <c r="G260" s="9"/>
    </row>
    <row r="261" spans="5:7" ht="16.5">
      <c r="E261" s="7"/>
      <c r="F261" s="9"/>
      <c r="G261" s="9"/>
    </row>
    <row r="262" spans="5:7" ht="16.5">
      <c r="E262" s="7"/>
      <c r="F262" s="9"/>
      <c r="G262" s="9"/>
    </row>
    <row r="263" spans="5:7" ht="16.5">
      <c r="E263" s="7"/>
      <c r="F263" s="9"/>
      <c r="G263" s="9"/>
    </row>
    <row r="264" spans="5:7" ht="16.5">
      <c r="E264" s="7"/>
      <c r="F264" s="9"/>
      <c r="G264" s="9"/>
    </row>
    <row r="265" spans="5:7" ht="16.5">
      <c r="E265" s="7"/>
      <c r="F265" s="9"/>
      <c r="G265" s="9"/>
    </row>
    <row r="266" spans="5:7" ht="16.5">
      <c r="E266" s="7"/>
      <c r="F266" s="9"/>
      <c r="G266" s="9"/>
    </row>
    <row r="267" spans="5:7" ht="16.5">
      <c r="E267" s="7"/>
      <c r="F267" s="9"/>
      <c r="G267" s="9"/>
    </row>
    <row r="268" spans="5:7" ht="16.5">
      <c r="E268" s="7"/>
      <c r="F268" s="9"/>
      <c r="G268" s="9"/>
    </row>
    <row r="269" spans="5:7" ht="16.5">
      <c r="E269" s="7"/>
      <c r="F269" s="9"/>
      <c r="G269" s="9"/>
    </row>
    <row r="270" spans="5:7" ht="16.5">
      <c r="E270" s="7"/>
      <c r="F270" s="9"/>
      <c r="G270" s="9"/>
    </row>
    <row r="271" spans="5:7" ht="16.5">
      <c r="E271" s="7"/>
      <c r="F271" s="9"/>
      <c r="G271" s="9"/>
    </row>
    <row r="272" spans="5:7" ht="16.5">
      <c r="E272" s="7"/>
      <c r="F272" s="9"/>
      <c r="G272" s="9"/>
    </row>
    <row r="273" spans="5:7" ht="16.5">
      <c r="E273" s="7"/>
      <c r="F273" s="9"/>
      <c r="G273" s="9"/>
    </row>
    <row r="274" spans="5:7" ht="16.5">
      <c r="E274" s="7"/>
      <c r="F274" s="9"/>
      <c r="G274" s="9"/>
    </row>
    <row r="275" spans="5:7" ht="16.5">
      <c r="E275" s="7"/>
      <c r="F275" s="9"/>
      <c r="G275" s="9"/>
    </row>
    <row r="276" spans="5:7" ht="16.5">
      <c r="E276" s="7"/>
      <c r="F276" s="9"/>
      <c r="G276" s="9"/>
    </row>
    <row r="277" spans="5:7" ht="16.5">
      <c r="E277" s="7"/>
      <c r="F277" s="9"/>
      <c r="G277" s="9"/>
    </row>
    <row r="278" spans="5:7" ht="16.5">
      <c r="E278" s="7"/>
      <c r="F278" s="9"/>
      <c r="G278" s="9"/>
    </row>
    <row r="279" spans="5:7" ht="16.5">
      <c r="E279" s="7"/>
      <c r="F279" s="9"/>
      <c r="G279" s="9"/>
    </row>
    <row r="280" spans="5:7" ht="16.5">
      <c r="E280" s="7"/>
      <c r="F280" s="9"/>
      <c r="G280" s="9"/>
    </row>
    <row r="281" spans="5:7" ht="16.5">
      <c r="E281" s="7"/>
      <c r="F281" s="9"/>
      <c r="G281" s="9"/>
    </row>
    <row r="282" spans="5:7" ht="16.5">
      <c r="E282" s="7"/>
      <c r="F282" s="9"/>
      <c r="G282" s="9"/>
    </row>
    <row r="283" spans="5:7" ht="16.5">
      <c r="E283" s="7"/>
      <c r="F283" s="9"/>
      <c r="G283" s="9"/>
    </row>
    <row r="284" spans="5:7" ht="16.5">
      <c r="E284" s="7"/>
      <c r="F284" s="9"/>
      <c r="G284" s="9"/>
    </row>
    <row r="285" spans="5:7" ht="16.5">
      <c r="E285" s="7"/>
      <c r="F285" s="9"/>
      <c r="G285" s="9"/>
    </row>
    <row r="286" spans="5:7" ht="16.5">
      <c r="E286" s="7"/>
      <c r="F286" s="9"/>
      <c r="G286" s="9"/>
    </row>
    <row r="287" spans="5:7" ht="16.5">
      <c r="E287" s="7"/>
      <c r="F287" s="9"/>
      <c r="G287" s="9"/>
    </row>
    <row r="288" spans="5:7" ht="16.5">
      <c r="E288" s="7"/>
      <c r="F288" s="9"/>
      <c r="G288" s="9"/>
    </row>
    <row r="289" spans="5:7" ht="16.5">
      <c r="E289" s="7"/>
      <c r="F289" s="9"/>
      <c r="G289" s="9"/>
    </row>
    <row r="290" spans="5:7" ht="16.5">
      <c r="E290" s="7"/>
      <c r="F290" s="9"/>
      <c r="G290" s="9"/>
    </row>
    <row r="291" spans="5:7" ht="16.5">
      <c r="E291" s="7"/>
      <c r="F291" s="9"/>
      <c r="G291" s="9"/>
    </row>
    <row r="292" spans="5:7" ht="16.5">
      <c r="E292" s="7"/>
      <c r="F292" s="9"/>
      <c r="G292" s="9"/>
    </row>
    <row r="293" spans="5:7" ht="16.5">
      <c r="E293" s="7"/>
      <c r="F293" s="9"/>
      <c r="G293" s="9"/>
    </row>
    <row r="294" spans="5:7" ht="16.5">
      <c r="E294" s="7"/>
      <c r="F294" s="9"/>
      <c r="G294" s="9"/>
    </row>
    <row r="295" spans="5:7" ht="16.5">
      <c r="E295" s="7"/>
      <c r="F295" s="9"/>
      <c r="G295" s="9"/>
    </row>
    <row r="296" spans="5:7" ht="16.5">
      <c r="E296" s="7"/>
      <c r="F296" s="9"/>
      <c r="G296" s="9"/>
    </row>
    <row r="297" spans="5:7" ht="16.5">
      <c r="E297" s="7"/>
      <c r="F297" s="9"/>
      <c r="G297" s="9"/>
    </row>
    <row r="298" spans="5:7" ht="16.5">
      <c r="E298" s="7"/>
      <c r="F298" s="9"/>
      <c r="G298" s="9"/>
    </row>
    <row r="299" spans="5:7" ht="16.5">
      <c r="E299" s="7"/>
      <c r="F299" s="9"/>
      <c r="G299" s="9"/>
    </row>
    <row r="300" spans="5:7" ht="16.5">
      <c r="E300" s="7"/>
      <c r="F300" s="9"/>
      <c r="G300" s="9"/>
    </row>
    <row r="301" spans="5:7" ht="16.5">
      <c r="E301" s="7"/>
      <c r="F301" s="9"/>
      <c r="G301" s="9"/>
    </row>
    <row r="302" spans="5:7" ht="16.5">
      <c r="E302" s="7"/>
      <c r="F302" s="9"/>
      <c r="G302" s="9"/>
    </row>
    <row r="303" spans="5:7" ht="16.5">
      <c r="E303" s="7"/>
      <c r="F303" s="9"/>
      <c r="G303" s="9"/>
    </row>
    <row r="304" spans="5:7" ht="16.5">
      <c r="E304" s="7"/>
      <c r="F304" s="9"/>
      <c r="G304" s="9"/>
    </row>
    <row r="305" spans="5:7" ht="16.5">
      <c r="E305" s="7"/>
      <c r="F305" s="9"/>
      <c r="G305" s="9"/>
    </row>
    <row r="306" spans="5:7" ht="16.5">
      <c r="E306" s="7"/>
      <c r="F306" s="9"/>
      <c r="G306" s="9"/>
    </row>
    <row r="307" spans="5:7" ht="16.5">
      <c r="E307" s="7"/>
      <c r="F307" s="9"/>
      <c r="G307" s="9"/>
    </row>
    <row r="308" spans="5:7" ht="16.5">
      <c r="E308" s="7"/>
      <c r="F308" s="9"/>
      <c r="G308" s="9"/>
    </row>
    <row r="309" spans="5:7" ht="16.5">
      <c r="E309" s="7"/>
      <c r="F309" s="9"/>
      <c r="G309" s="9"/>
    </row>
    <row r="310" spans="5:7" ht="16.5">
      <c r="E310" s="7"/>
      <c r="F310" s="9"/>
      <c r="G310" s="9"/>
    </row>
    <row r="311" spans="5:7" ht="16.5">
      <c r="E311" s="7"/>
      <c r="F311" s="9"/>
      <c r="G311" s="9"/>
    </row>
    <row r="312" spans="5:7" ht="16.5">
      <c r="E312" s="7"/>
      <c r="F312" s="9"/>
      <c r="G312" s="9"/>
    </row>
    <row r="313" spans="5:7" ht="16.5">
      <c r="E313" s="7"/>
      <c r="F313" s="9"/>
      <c r="G313" s="9"/>
    </row>
    <row r="314" spans="5:7" ht="16.5">
      <c r="E314" s="7"/>
      <c r="F314" s="9"/>
      <c r="G314" s="9"/>
    </row>
    <row r="315" spans="5:7" ht="16.5">
      <c r="E315" s="7"/>
      <c r="F315" s="9"/>
      <c r="G315" s="9"/>
    </row>
    <row r="316" spans="5:7" ht="16.5">
      <c r="E316" s="7"/>
      <c r="F316" s="9"/>
      <c r="G316" s="9"/>
    </row>
    <row r="317" spans="5:7" ht="16.5">
      <c r="E317" s="7"/>
      <c r="F317" s="9"/>
      <c r="G317" s="9"/>
    </row>
    <row r="318" spans="5:7" ht="16.5">
      <c r="E318" s="7"/>
      <c r="F318" s="9"/>
      <c r="G318" s="9"/>
    </row>
    <row r="319" spans="5:7" ht="16.5">
      <c r="E319" s="7"/>
      <c r="F319" s="9"/>
      <c r="G319" s="9"/>
    </row>
    <row r="320" spans="5:7" ht="16.5">
      <c r="E320" s="7"/>
      <c r="F320" s="9"/>
      <c r="G320" s="9"/>
    </row>
    <row r="321" spans="5:7" ht="16.5">
      <c r="E321" s="7"/>
      <c r="F321" s="9"/>
      <c r="G321" s="9"/>
    </row>
    <row r="322" spans="5:7" ht="16.5">
      <c r="E322" s="7"/>
      <c r="F322" s="9"/>
      <c r="G322" s="9"/>
    </row>
    <row r="323" spans="5:7" ht="16.5">
      <c r="E323" s="7"/>
      <c r="F323" s="9"/>
      <c r="G323" s="9"/>
    </row>
    <row r="324" spans="5:7" ht="16.5">
      <c r="E324" s="7"/>
      <c r="F324" s="9"/>
      <c r="G324" s="9"/>
    </row>
    <row r="325" spans="5:7" ht="16.5">
      <c r="E325" s="7"/>
      <c r="F325" s="9"/>
      <c r="G325" s="9"/>
    </row>
    <row r="326" spans="5:7" ht="16.5">
      <c r="E326" s="7"/>
      <c r="F326" s="9"/>
      <c r="G326" s="9"/>
    </row>
    <row r="327" spans="5:7" ht="16.5">
      <c r="E327" s="7"/>
      <c r="F327" s="9"/>
      <c r="G327" s="9"/>
    </row>
    <row r="328" spans="5:7" ht="16.5">
      <c r="E328" s="7"/>
      <c r="F328" s="9"/>
      <c r="G328" s="9"/>
    </row>
    <row r="329" spans="5:7" ht="16.5">
      <c r="E329" s="7"/>
      <c r="F329" s="9"/>
      <c r="G329" s="9"/>
    </row>
    <row r="330" spans="5:7" ht="16.5">
      <c r="E330" s="7"/>
      <c r="F330" s="9"/>
      <c r="G330" s="9"/>
    </row>
    <row r="331" spans="5:7" ht="16.5">
      <c r="E331" s="7"/>
      <c r="F331" s="9"/>
      <c r="G331" s="9"/>
    </row>
    <row r="332" spans="5:7" ht="16.5">
      <c r="E332" s="7"/>
      <c r="F332" s="9"/>
      <c r="G332" s="9"/>
    </row>
    <row r="333" spans="5:7" ht="16.5">
      <c r="E333" s="7"/>
      <c r="F333" s="9"/>
      <c r="G333" s="9"/>
    </row>
    <row r="334" spans="5:7" ht="16.5">
      <c r="E334" s="7"/>
      <c r="F334" s="9"/>
      <c r="G334" s="9"/>
    </row>
    <row r="335" spans="5:7" ht="16.5">
      <c r="E335" s="7"/>
      <c r="F335" s="9"/>
      <c r="G335" s="9"/>
    </row>
    <row r="336" spans="5:7" ht="16.5">
      <c r="E336" s="7"/>
      <c r="F336" s="9"/>
      <c r="G336" s="9"/>
    </row>
    <row r="337" spans="5:7" ht="16.5">
      <c r="E337" s="7"/>
      <c r="F337" s="9"/>
      <c r="G337" s="9"/>
    </row>
    <row r="338" spans="5:7" ht="16.5">
      <c r="E338" s="7"/>
      <c r="F338" s="9"/>
      <c r="G338" s="9"/>
    </row>
    <row r="339" spans="5:7" ht="16.5">
      <c r="E339" s="7"/>
      <c r="F339" s="9"/>
      <c r="G339" s="9"/>
    </row>
    <row r="340" spans="5:7" ht="16.5">
      <c r="E340" s="7"/>
      <c r="F340" s="9"/>
      <c r="G340" s="9"/>
    </row>
    <row r="341" spans="5:7" ht="16.5">
      <c r="E341" s="7"/>
      <c r="F341" s="9"/>
      <c r="G341" s="9"/>
    </row>
    <row r="342" spans="5:7" ht="16.5">
      <c r="E342" s="7"/>
      <c r="F342" s="9"/>
      <c r="G342" s="9"/>
    </row>
    <row r="343" spans="5:7" ht="16.5">
      <c r="E343" s="7"/>
      <c r="F343" s="9"/>
      <c r="G343" s="9"/>
    </row>
    <row r="344" spans="5:7" ht="16.5">
      <c r="E344" s="7"/>
      <c r="F344" s="9"/>
      <c r="G344" s="9"/>
    </row>
    <row r="345" spans="5:7" ht="16.5">
      <c r="E345" s="7"/>
      <c r="F345" s="9"/>
      <c r="G345" s="9"/>
    </row>
    <row r="346" spans="5:7" ht="16.5">
      <c r="E346" s="7"/>
      <c r="F346" s="9"/>
      <c r="G346" s="9"/>
    </row>
    <row r="347" spans="5:7" ht="16.5">
      <c r="E347" s="7"/>
      <c r="F347" s="9"/>
      <c r="G347" s="9"/>
    </row>
    <row r="348" spans="5:7" ht="16.5">
      <c r="E348" s="7"/>
      <c r="F348" s="9"/>
      <c r="G348" s="9"/>
    </row>
    <row r="349" spans="5:7" ht="16.5">
      <c r="E349" s="7"/>
      <c r="F349" s="9"/>
      <c r="G349" s="9"/>
    </row>
    <row r="350" spans="5:7" ht="16.5">
      <c r="E350" s="7"/>
      <c r="F350" s="9"/>
      <c r="G350" s="9"/>
    </row>
    <row r="351" spans="5:7" ht="16.5">
      <c r="E351" s="7"/>
      <c r="F351" s="9"/>
      <c r="G351" s="9"/>
    </row>
    <row r="352" spans="5:7" ht="16.5">
      <c r="E352" s="7"/>
      <c r="F352" s="9"/>
      <c r="G352" s="9"/>
    </row>
    <row r="353" spans="5:7" ht="16.5">
      <c r="E353" s="7"/>
      <c r="F353" s="9"/>
      <c r="G353" s="9"/>
    </row>
    <row r="354" spans="5:7" ht="16.5">
      <c r="E354" s="7"/>
      <c r="F354" s="9"/>
      <c r="G354" s="9"/>
    </row>
    <row r="355" spans="5:7" ht="16.5">
      <c r="E355" s="7"/>
      <c r="F355" s="9"/>
      <c r="G355" s="9"/>
    </row>
    <row r="356" spans="5:7" ht="16.5">
      <c r="E356" s="7"/>
      <c r="F356" s="9"/>
      <c r="G356" s="9"/>
    </row>
    <row r="357" spans="5:7" ht="16.5">
      <c r="E357" s="7"/>
      <c r="F357" s="9"/>
      <c r="G357" s="9"/>
    </row>
    <row r="358" spans="5:7" ht="16.5">
      <c r="E358" s="7"/>
      <c r="F358" s="9"/>
      <c r="G358" s="9"/>
    </row>
    <row r="359" spans="5:7" ht="16.5">
      <c r="E359" s="7"/>
      <c r="F359" s="9"/>
      <c r="G359" s="9"/>
    </row>
    <row r="360" spans="5:7" ht="16.5">
      <c r="E360" s="7"/>
      <c r="F360" s="9"/>
      <c r="G360" s="9"/>
    </row>
    <row r="361" spans="5:7" ht="16.5">
      <c r="E361" s="7"/>
      <c r="F361" s="9"/>
      <c r="G361" s="9"/>
    </row>
    <row r="362" spans="5:7" ht="16.5">
      <c r="E362" s="7"/>
      <c r="F362" s="9"/>
      <c r="G362" s="9"/>
    </row>
    <row r="363" spans="5:7" ht="16.5">
      <c r="E363" s="7"/>
      <c r="F363" s="9"/>
      <c r="G363" s="9"/>
    </row>
    <row r="364" spans="5:7" ht="16.5">
      <c r="E364" s="7"/>
      <c r="F364" s="9"/>
      <c r="G364" s="9"/>
    </row>
    <row r="365" spans="5:7" ht="16.5">
      <c r="E365" s="7"/>
      <c r="F365" s="9"/>
      <c r="G365" s="9"/>
    </row>
    <row r="366" spans="5:7" ht="16.5">
      <c r="E366" s="7"/>
      <c r="F366" s="9"/>
      <c r="G366" s="9"/>
    </row>
    <row r="367" spans="5:7" ht="16.5">
      <c r="E367" s="7"/>
      <c r="F367" s="9"/>
      <c r="G367" s="9"/>
    </row>
    <row r="368" spans="5:7" ht="16.5">
      <c r="E368" s="7"/>
      <c r="F368" s="9"/>
      <c r="G368" s="9"/>
    </row>
    <row r="369" spans="5:7" ht="16.5">
      <c r="E369" s="7"/>
      <c r="F369" s="9"/>
      <c r="G369" s="9"/>
    </row>
    <row r="370" spans="5:7" ht="16.5">
      <c r="E370" s="7"/>
      <c r="F370" s="9"/>
      <c r="G370" s="9"/>
    </row>
    <row r="371" spans="5:7" ht="16.5">
      <c r="E371" s="7"/>
      <c r="F371" s="9"/>
      <c r="G371" s="9"/>
    </row>
    <row r="372" spans="5:7" ht="16.5">
      <c r="E372" s="7"/>
      <c r="F372" s="9"/>
      <c r="G372" s="9"/>
    </row>
    <row r="373" spans="5:7" ht="16.5">
      <c r="E373" s="7"/>
      <c r="F373" s="9"/>
      <c r="G373" s="9"/>
    </row>
    <row r="374" spans="5:7" ht="16.5">
      <c r="E374" s="7"/>
      <c r="F374" s="9"/>
      <c r="G374" s="9"/>
    </row>
    <row r="375" spans="5:7" ht="16.5">
      <c r="E375" s="7"/>
      <c r="F375" s="9"/>
      <c r="G375" s="9"/>
    </row>
    <row r="376" spans="5:7" ht="16.5">
      <c r="E376" s="7"/>
      <c r="F376" s="9"/>
      <c r="G376" s="9"/>
    </row>
    <row r="377" spans="5:7" ht="16.5">
      <c r="E377" s="7"/>
      <c r="F377" s="9"/>
      <c r="G377" s="9"/>
    </row>
    <row r="378" spans="5:7" ht="16.5">
      <c r="E378" s="7"/>
      <c r="F378" s="9"/>
      <c r="G378" s="9"/>
    </row>
    <row r="379" spans="5:7" ht="16.5">
      <c r="E379" s="7"/>
      <c r="F379" s="9"/>
      <c r="G379" s="9"/>
    </row>
    <row r="380" spans="5:7" ht="16.5">
      <c r="E380" s="7"/>
      <c r="F380" s="9"/>
      <c r="G380" s="9"/>
    </row>
    <row r="381" spans="5:7" ht="16.5">
      <c r="E381" s="7"/>
      <c r="F381" s="9"/>
      <c r="G381" s="9"/>
    </row>
    <row r="382" spans="5:7" ht="16.5">
      <c r="E382" s="7"/>
      <c r="F382" s="9"/>
      <c r="G382" s="9"/>
    </row>
    <row r="383" spans="5:7" ht="16.5">
      <c r="E383" s="7"/>
      <c r="F383" s="9"/>
      <c r="G383" s="9"/>
    </row>
    <row r="384" spans="5:7" ht="16.5">
      <c r="E384" s="7"/>
      <c r="F384" s="9"/>
      <c r="G384" s="9"/>
    </row>
    <row r="385" spans="5:7" ht="16.5">
      <c r="E385" s="7"/>
      <c r="F385" s="9"/>
      <c r="G385" s="9"/>
    </row>
    <row r="386" spans="5:7" ht="16.5">
      <c r="E386" s="7"/>
      <c r="F386" s="9"/>
      <c r="G386" s="9"/>
    </row>
    <row r="387" spans="5:7" ht="16.5">
      <c r="E387" s="7"/>
      <c r="F387" s="9"/>
      <c r="G387" s="9"/>
    </row>
    <row r="388" spans="5:7" ht="16.5">
      <c r="E388" s="7"/>
      <c r="F388" s="9"/>
      <c r="G388" s="9"/>
    </row>
    <row r="389" spans="5:7" ht="16.5">
      <c r="E389" s="7"/>
      <c r="F389" s="9"/>
      <c r="G389" s="9"/>
    </row>
    <row r="390" spans="5:7" ht="16.5">
      <c r="E390" s="7"/>
      <c r="F390" s="9"/>
      <c r="G390" s="9"/>
    </row>
    <row r="391" spans="5:7" ht="16.5">
      <c r="E391" s="7"/>
      <c r="F391" s="9"/>
      <c r="G391" s="9"/>
    </row>
    <row r="392" spans="5:7" ht="16.5">
      <c r="E392" s="7"/>
      <c r="F392" s="9"/>
      <c r="G392" s="9"/>
    </row>
    <row r="393" spans="5:7" ht="16.5">
      <c r="E393" s="7"/>
      <c r="F393" s="9"/>
      <c r="G393" s="9"/>
    </row>
    <row r="394" spans="5:7" ht="16.5">
      <c r="E394" s="7"/>
      <c r="F394" s="9"/>
      <c r="G394" s="9"/>
    </row>
    <row r="395" spans="5:7" ht="16.5">
      <c r="E395" s="7"/>
      <c r="F395" s="9"/>
      <c r="G395" s="9"/>
    </row>
    <row r="396" spans="5:7" ht="16.5">
      <c r="E396" s="7"/>
      <c r="F396" s="9"/>
      <c r="G396" s="9"/>
    </row>
    <row r="397" spans="5:7" ht="16.5">
      <c r="E397" s="7"/>
      <c r="F397" s="9"/>
      <c r="G397" s="9"/>
    </row>
    <row r="398" spans="5:7" ht="16.5">
      <c r="E398" s="7"/>
      <c r="F398" s="9"/>
      <c r="G398" s="9"/>
    </row>
    <row r="399" spans="5:7" ht="16.5">
      <c r="E399" s="7"/>
      <c r="F399" s="9"/>
      <c r="G399" s="9"/>
    </row>
    <row r="400" spans="5:7" ht="16.5">
      <c r="E400" s="7"/>
      <c r="F400" s="9"/>
      <c r="G400" s="9"/>
    </row>
    <row r="401" spans="5:7" ht="16.5">
      <c r="E401" s="7"/>
      <c r="F401" s="9"/>
      <c r="G401" s="9"/>
    </row>
    <row r="402" spans="5:7" ht="16.5">
      <c r="E402" s="7"/>
      <c r="F402" s="9"/>
      <c r="G402" s="9"/>
    </row>
    <row r="403" spans="5:7" ht="16.5">
      <c r="E403" s="7"/>
      <c r="F403" s="9"/>
      <c r="G403" s="9"/>
    </row>
    <row r="404" spans="5:7" ht="16.5">
      <c r="E404" s="7"/>
      <c r="F404" s="9"/>
      <c r="G404" s="9"/>
    </row>
    <row r="405" spans="5:7" ht="16.5">
      <c r="E405" s="7"/>
      <c r="F405" s="9"/>
      <c r="G405" s="9"/>
    </row>
    <row r="406" spans="5:7" ht="16.5">
      <c r="E406" s="7"/>
      <c r="F406" s="9"/>
      <c r="G406" s="9"/>
    </row>
    <row r="407" spans="5:7" ht="16.5">
      <c r="E407" s="7"/>
      <c r="F407" s="9"/>
      <c r="G407" s="9"/>
    </row>
    <row r="408" spans="5:7" ht="16.5">
      <c r="E408" s="7"/>
      <c r="F408" s="9"/>
      <c r="G408" s="9"/>
    </row>
    <row r="409" spans="5:7" ht="16.5">
      <c r="E409" s="7"/>
      <c r="F409" s="9"/>
      <c r="G409" s="9"/>
    </row>
    <row r="410" spans="5:7" ht="16.5">
      <c r="E410" s="7"/>
      <c r="F410" s="9"/>
      <c r="G410" s="9"/>
    </row>
    <row r="411" spans="5:7" ht="16.5">
      <c r="E411" s="7"/>
      <c r="F411" s="9"/>
      <c r="G411" s="9"/>
    </row>
    <row r="412" spans="5:7" ht="16.5">
      <c r="E412" s="7"/>
      <c r="F412" s="9"/>
      <c r="G412" s="9"/>
    </row>
    <row r="413" spans="5:7" ht="16.5">
      <c r="E413" s="7"/>
      <c r="F413" s="9"/>
      <c r="G413" s="9"/>
    </row>
    <row r="414" spans="5:7" ht="16.5">
      <c r="E414" s="7"/>
      <c r="F414" s="9"/>
      <c r="G414" s="9"/>
    </row>
    <row r="415" spans="5:7" ht="16.5">
      <c r="E415" s="7"/>
      <c r="F415" s="9"/>
      <c r="G415" s="9"/>
    </row>
    <row r="416" spans="5:7" ht="16.5">
      <c r="E416" s="7"/>
      <c r="F416" s="9"/>
      <c r="G416" s="9"/>
    </row>
    <row r="417" spans="5:7" ht="16.5">
      <c r="E417" s="7"/>
      <c r="F417" s="9"/>
      <c r="G417" s="9"/>
    </row>
    <row r="418" spans="5:7" ht="16.5">
      <c r="E418" s="7"/>
      <c r="F418" s="9"/>
      <c r="G418" s="9"/>
    </row>
    <row r="419" spans="5:7" ht="16.5">
      <c r="E419" s="7"/>
      <c r="F419" s="9"/>
      <c r="G419" s="9"/>
    </row>
    <row r="420" spans="5:7" ht="16.5">
      <c r="E420" s="7"/>
      <c r="F420" s="9"/>
      <c r="G420" s="9"/>
    </row>
    <row r="421" spans="5:7" ht="16.5">
      <c r="E421" s="7"/>
      <c r="F421" s="9"/>
      <c r="G421" s="9"/>
    </row>
    <row r="422" spans="5:7" ht="16.5">
      <c r="E422" s="7"/>
      <c r="F422" s="9"/>
      <c r="G422" s="9"/>
    </row>
    <row r="423" spans="5:7" ht="16.5">
      <c r="E423" s="7"/>
      <c r="F423" s="9"/>
      <c r="G423" s="9"/>
    </row>
    <row r="424" spans="5:7" ht="16.5">
      <c r="E424" s="7"/>
      <c r="F424" s="9"/>
      <c r="G424" s="9"/>
    </row>
    <row r="425" spans="5:7" ht="16.5">
      <c r="E425" s="7"/>
      <c r="F425" s="9"/>
      <c r="G425" s="9"/>
    </row>
    <row r="426" spans="5:7" ht="16.5">
      <c r="E426" s="7"/>
      <c r="F426" s="9"/>
      <c r="G426" s="9"/>
    </row>
    <row r="427" spans="5:7" ht="16.5">
      <c r="E427" s="7"/>
      <c r="F427" s="9"/>
      <c r="G427" s="9"/>
    </row>
    <row r="428" spans="5:7" ht="16.5">
      <c r="E428" s="7"/>
      <c r="F428" s="9"/>
      <c r="G428" s="9"/>
    </row>
    <row r="429" spans="5:7" ht="16.5">
      <c r="E429" s="7"/>
      <c r="F429" s="9"/>
      <c r="G429" s="9"/>
    </row>
    <row r="430" spans="5:7" ht="16.5">
      <c r="E430" s="7"/>
      <c r="F430" s="9"/>
      <c r="G430" s="9"/>
    </row>
    <row r="431" spans="5:7" ht="16.5">
      <c r="E431" s="7"/>
      <c r="F431" s="9"/>
      <c r="G431" s="9"/>
    </row>
    <row r="432" spans="5:7" ht="16.5">
      <c r="E432" s="7"/>
      <c r="F432" s="9"/>
      <c r="G432" s="9"/>
    </row>
    <row r="433" spans="4:7" ht="16.5">
      <c r="E433" s="7"/>
      <c r="F433" s="9"/>
      <c r="G433" s="9"/>
    </row>
    <row r="434" spans="4:7" ht="16.5">
      <c r="E434" s="7"/>
      <c r="F434" s="9"/>
      <c r="G434" s="9"/>
    </row>
    <row r="435" spans="4:7" ht="16.5">
      <c r="E435" s="7"/>
      <c r="F435" s="9"/>
      <c r="G435" s="9"/>
    </row>
    <row r="436" spans="4:7" ht="16.5">
      <c r="E436" s="7"/>
      <c r="F436" s="9"/>
      <c r="G436" s="9"/>
    </row>
    <row r="437" spans="4:7" ht="16.5">
      <c r="E437" s="7"/>
      <c r="F437" s="9"/>
      <c r="G437" s="9"/>
    </row>
    <row r="438" spans="4:7" ht="16.5">
      <c r="E438" s="7"/>
      <c r="F438" s="9"/>
      <c r="G438" s="9"/>
    </row>
    <row r="439" spans="4:7" ht="16.5">
      <c r="E439" s="7"/>
      <c r="F439" s="9"/>
      <c r="G439" s="9"/>
    </row>
    <row r="440" spans="4:7" ht="16.5">
      <c r="D440" s="3"/>
      <c r="E440" s="7"/>
      <c r="F440" s="9"/>
      <c r="G440" s="9"/>
    </row>
    <row r="441" spans="4:7" ht="16.5">
      <c r="D441" s="3"/>
      <c r="E441" s="7"/>
      <c r="F441" s="9"/>
      <c r="G441" s="9"/>
    </row>
    <row r="442" spans="4:7" ht="16.5">
      <c r="D442" s="3"/>
      <c r="E442" s="7"/>
      <c r="F442" s="9"/>
      <c r="G442" s="9"/>
    </row>
    <row r="443" spans="4:7" ht="16.5">
      <c r="D443" s="3"/>
      <c r="E443" s="7"/>
      <c r="F443" s="9"/>
      <c r="G443" s="9"/>
    </row>
    <row r="444" spans="4:7" ht="16.5">
      <c r="D444" s="3"/>
      <c r="E444" s="7"/>
      <c r="F444" s="9"/>
      <c r="G444" s="9"/>
    </row>
    <row r="445" spans="4:7" ht="16.5">
      <c r="D445" s="3"/>
      <c r="E445" s="7"/>
      <c r="F445" s="9"/>
      <c r="G445" s="9"/>
    </row>
    <row r="446" spans="4:7" ht="16.5">
      <c r="D446" s="3"/>
      <c r="E446" s="7"/>
      <c r="F446" s="9"/>
      <c r="G446" s="9"/>
    </row>
    <row r="447" spans="4:7" ht="16.5">
      <c r="D447" s="3"/>
      <c r="E447" s="7"/>
      <c r="F447" s="9"/>
      <c r="G447" s="9"/>
    </row>
    <row r="448" spans="4:7" ht="16.5">
      <c r="D448" s="3"/>
      <c r="E448" s="7"/>
      <c r="F448" s="9"/>
      <c r="G448" s="9"/>
    </row>
    <row r="449" spans="4:7" ht="16.5">
      <c r="D449" s="3"/>
      <c r="E449" s="7"/>
      <c r="F449" s="9"/>
      <c r="G449" s="9"/>
    </row>
    <row r="450" spans="4:7" ht="16.5">
      <c r="D450" s="3"/>
      <c r="E450" s="7"/>
      <c r="F450" s="9"/>
      <c r="G450" s="9"/>
    </row>
    <row r="451" spans="4:7" ht="16.5">
      <c r="D451" s="3"/>
      <c r="E451" s="7"/>
      <c r="F451" s="9"/>
      <c r="G451" s="9"/>
    </row>
    <row r="452" spans="4:7" ht="16.5">
      <c r="D452" s="3"/>
      <c r="E452" s="7"/>
      <c r="F452" s="9"/>
      <c r="G452" s="9"/>
    </row>
    <row r="453" spans="4:7" ht="16.5">
      <c r="D453" s="4"/>
      <c r="E453" s="10"/>
      <c r="F453" s="11"/>
      <c r="G453" s="11"/>
    </row>
    <row r="454" spans="4:7" ht="16.5">
      <c r="D454" s="4"/>
      <c r="E454" s="10"/>
      <c r="F454" s="11"/>
      <c r="G454" s="11"/>
    </row>
    <row r="455" spans="4:7" ht="16.5">
      <c r="D455" s="4"/>
      <c r="E455" s="10"/>
      <c r="F455" s="11"/>
      <c r="G455" s="11"/>
    </row>
    <row r="456" spans="4:7" ht="16.5">
      <c r="D456" s="4"/>
    </row>
    <row r="457" spans="4:7" ht="16.5">
      <c r="D457" s="4"/>
    </row>
    <row r="458" spans="4:7" ht="16.5">
      <c r="D458" s="4"/>
    </row>
    <row r="459" spans="4:7" ht="16.5">
      <c r="D459" s="4"/>
    </row>
    <row r="460" spans="4:7" ht="16.5">
      <c r="D460" s="4"/>
    </row>
    <row r="461" spans="4:7" ht="16.5">
      <c r="D461" s="4"/>
    </row>
    <row r="462" spans="4:7" ht="16.5">
      <c r="D462" s="4"/>
    </row>
    <row r="463" spans="4:7" ht="16.5">
      <c r="D463" s="4"/>
    </row>
    <row r="464" spans="4:7" ht="16.5">
      <c r="D464" s="4"/>
    </row>
    <row r="465" spans="4:7" ht="16.5">
      <c r="D465" s="4"/>
    </row>
    <row r="466" spans="4:7" ht="16.5">
      <c r="D466" s="4"/>
    </row>
    <row r="467" spans="4:7" ht="16.5">
      <c r="D467" s="4"/>
    </row>
    <row r="468" spans="4:7" ht="16.5">
      <c r="D468" s="4"/>
    </row>
    <row r="469" spans="4:7" ht="16.5">
      <c r="D469" s="4"/>
    </row>
    <row r="470" spans="4:7" ht="16.5">
      <c r="D470" s="4"/>
      <c r="F470" s="1"/>
      <c r="G470" s="1"/>
    </row>
    <row r="471" spans="4:7" ht="16.5">
      <c r="D471" s="4"/>
      <c r="F471" s="1"/>
      <c r="G471" s="1"/>
    </row>
    <row r="472" spans="4:7" ht="16.5">
      <c r="D472" s="4"/>
      <c r="F472" s="1"/>
      <c r="G472" s="1"/>
    </row>
    <row r="473" spans="4:7" ht="16.5">
      <c r="D473" s="4"/>
      <c r="F473" s="1"/>
      <c r="G473" s="1"/>
    </row>
    <row r="474" spans="4:7" ht="16.5">
      <c r="D474" s="4"/>
      <c r="F474" s="1"/>
      <c r="G474" s="1"/>
    </row>
    <row r="475" spans="4:7" ht="16.5">
      <c r="D475" s="4"/>
      <c r="F475" s="1"/>
      <c r="G475" s="1"/>
    </row>
    <row r="476" spans="4:7" ht="16.5">
      <c r="D476" s="4"/>
      <c r="F476" s="1"/>
      <c r="G476" s="1"/>
    </row>
    <row r="477" spans="4:7" ht="16.5">
      <c r="D477" s="4"/>
      <c r="F477" s="1"/>
      <c r="G477" s="1"/>
    </row>
    <row r="478" spans="4:7" ht="16.5">
      <c r="D478" s="4"/>
      <c r="F478" s="1"/>
      <c r="G478" s="1"/>
    </row>
    <row r="479" spans="4:7" ht="16.5">
      <c r="D479" s="4"/>
      <c r="F479" s="1"/>
      <c r="G479" s="1"/>
    </row>
    <row r="480" spans="4:7" ht="16.5">
      <c r="D480" s="4"/>
      <c r="F480" s="1"/>
      <c r="G480" s="1"/>
    </row>
    <row r="481" spans="4:7" ht="16.5">
      <c r="D481" s="4"/>
      <c r="F481" s="1"/>
      <c r="G481" s="1"/>
    </row>
    <row r="482" spans="4:7" ht="16.5">
      <c r="D482" s="4"/>
      <c r="F482" s="1"/>
      <c r="G482" s="1"/>
    </row>
    <row r="483" spans="4:7" ht="16.5">
      <c r="D483" s="4"/>
      <c r="F483" s="1"/>
      <c r="G483" s="1"/>
    </row>
    <row r="484" spans="4:7" ht="16.5">
      <c r="D484" s="4"/>
      <c r="F484" s="1"/>
      <c r="G484" s="1"/>
    </row>
    <row r="485" spans="4:7" ht="16.5">
      <c r="D485" s="4"/>
      <c r="F485" s="1"/>
      <c r="G485" s="1"/>
    </row>
    <row r="486" spans="4:7" ht="16.5">
      <c r="D486" s="4"/>
      <c r="F486" s="1"/>
      <c r="G486" s="1"/>
    </row>
    <row r="487" spans="4:7" ht="16.5">
      <c r="D487" s="4"/>
      <c r="F487" s="1"/>
      <c r="G487" s="1"/>
    </row>
    <row r="488" spans="4:7" ht="16.5">
      <c r="D488" s="4"/>
      <c r="F488" s="1"/>
      <c r="G488" s="1"/>
    </row>
    <row r="489" spans="4:7" ht="16.5">
      <c r="D489" s="4"/>
      <c r="F489" s="1"/>
      <c r="G489" s="1"/>
    </row>
    <row r="490" spans="4:7" ht="16.5">
      <c r="D490" s="4"/>
      <c r="F490" s="1"/>
      <c r="G490" s="1"/>
    </row>
    <row r="491" spans="4:7" ht="16.5">
      <c r="D491" s="4"/>
      <c r="F491" s="1"/>
      <c r="G491" s="1"/>
    </row>
    <row r="492" spans="4:7" ht="16.5">
      <c r="D492" s="4"/>
      <c r="F492" s="1"/>
      <c r="G492" s="1"/>
    </row>
    <row r="493" spans="4:7" ht="16.5">
      <c r="D493" s="4"/>
      <c r="F493" s="1"/>
      <c r="G493" s="1"/>
    </row>
    <row r="494" spans="4:7" ht="16.5">
      <c r="D494" s="4"/>
      <c r="F494" s="1"/>
      <c r="G494" s="1"/>
    </row>
    <row r="495" spans="4:7" ht="16.5">
      <c r="D495" s="4"/>
      <c r="F495" s="1"/>
      <c r="G495" s="1"/>
    </row>
    <row r="496" spans="4:7" ht="16.5">
      <c r="D496" s="4"/>
      <c r="F496" s="1"/>
      <c r="G496" s="1"/>
    </row>
    <row r="497" spans="4:7" ht="16.5">
      <c r="D497" s="4"/>
      <c r="F497" s="1"/>
      <c r="G497" s="1"/>
    </row>
    <row r="498" spans="4:7" ht="16.5">
      <c r="D498" s="4"/>
      <c r="F498" s="1"/>
      <c r="G498" s="1"/>
    </row>
    <row r="499" spans="4:7" ht="16.5">
      <c r="D499" s="4"/>
      <c r="F499" s="1"/>
      <c r="G499" s="1"/>
    </row>
    <row r="500" spans="4:7" ht="16.5">
      <c r="D500" s="4"/>
      <c r="F500" s="1"/>
      <c r="G500" s="1"/>
    </row>
    <row r="501" spans="4:7" ht="16.5">
      <c r="D501" s="4"/>
      <c r="F501" s="1"/>
      <c r="G501" s="1"/>
    </row>
    <row r="502" spans="4:7" ht="16.5">
      <c r="D502" s="4"/>
      <c r="F502" s="1"/>
      <c r="G502" s="1"/>
    </row>
    <row r="503" spans="4:7" ht="16.5">
      <c r="D503" s="4"/>
      <c r="F503" s="1"/>
      <c r="G503" s="1"/>
    </row>
    <row r="504" spans="4:7" ht="16.5">
      <c r="D504" s="4"/>
      <c r="F504" s="1"/>
      <c r="G504" s="1"/>
    </row>
    <row r="505" spans="4:7" ht="16.5">
      <c r="D505" s="4"/>
      <c r="F505" s="1"/>
      <c r="G505" s="1"/>
    </row>
    <row r="506" spans="4:7" ht="16.5">
      <c r="D506" s="4"/>
      <c r="F506" s="1"/>
      <c r="G506" s="1"/>
    </row>
    <row r="507" spans="4:7" ht="16.5">
      <c r="D507" s="4"/>
      <c r="F507" s="1"/>
      <c r="G507" s="1"/>
    </row>
    <row r="508" spans="4:7" ht="16.5">
      <c r="D508" s="4"/>
      <c r="F508" s="1"/>
      <c r="G508" s="1"/>
    </row>
    <row r="509" spans="4:7" ht="16.5">
      <c r="D509" s="4"/>
      <c r="F509" s="1"/>
      <c r="G509" s="1"/>
    </row>
    <row r="510" spans="4:7" ht="16.5">
      <c r="D510" s="4"/>
      <c r="F510" s="1"/>
      <c r="G510" s="1"/>
    </row>
    <row r="511" spans="4:7" ht="16.5">
      <c r="D511" s="4"/>
      <c r="F511" s="1"/>
      <c r="G511" s="1"/>
    </row>
    <row r="512" spans="4:7" ht="16.5">
      <c r="D512" s="4"/>
      <c r="F512" s="1"/>
      <c r="G512" s="1"/>
    </row>
    <row r="513" spans="4:7" ht="16.5">
      <c r="D513" s="4"/>
      <c r="F513" s="1"/>
      <c r="G513" s="1"/>
    </row>
    <row r="514" spans="4:7" ht="16.5">
      <c r="D514" s="4"/>
      <c r="F514" s="1"/>
      <c r="G514" s="1"/>
    </row>
    <row r="515" spans="4:7" ht="16.5">
      <c r="D515" s="4"/>
      <c r="F515" s="1"/>
      <c r="G515" s="1"/>
    </row>
    <row r="516" spans="4:7" ht="16.5">
      <c r="D516" s="4"/>
      <c r="F516" s="1"/>
      <c r="G516" s="1"/>
    </row>
    <row r="517" spans="4:7" ht="16.5">
      <c r="D517" s="4"/>
      <c r="F517" s="1"/>
      <c r="G517" s="1"/>
    </row>
    <row r="518" spans="4:7" ht="16.5">
      <c r="D518" s="4"/>
      <c r="F518" s="1"/>
      <c r="G518" s="1"/>
    </row>
    <row r="519" spans="4:7" ht="16.5">
      <c r="D519" s="4"/>
      <c r="F519" s="1"/>
      <c r="G519" s="1"/>
    </row>
    <row r="520" spans="4:7" ht="16.5">
      <c r="D520" s="4"/>
      <c r="F520" s="1"/>
      <c r="G520" s="1"/>
    </row>
    <row r="521" spans="4:7" ht="16.5">
      <c r="D521" s="4"/>
      <c r="F521" s="1"/>
      <c r="G521" s="1"/>
    </row>
    <row r="522" spans="4:7" ht="16.5">
      <c r="D522" s="4"/>
      <c r="F522" s="1"/>
      <c r="G522" s="1"/>
    </row>
    <row r="523" spans="4:7" ht="16.5">
      <c r="D523" s="4"/>
      <c r="F523" s="1"/>
      <c r="G523" s="1"/>
    </row>
    <row r="524" spans="4:7" ht="16.5">
      <c r="D524" s="4"/>
      <c r="F524" s="1"/>
      <c r="G524" s="1"/>
    </row>
    <row r="525" spans="4:7" ht="16.5">
      <c r="D525" s="4"/>
      <c r="F525" s="1"/>
      <c r="G525" s="1"/>
    </row>
    <row r="526" spans="4:7" ht="16.5">
      <c r="D526" s="4"/>
      <c r="F526" s="1"/>
      <c r="G526" s="1"/>
    </row>
    <row r="527" spans="4:7" ht="16.5">
      <c r="D527" s="4"/>
      <c r="F527" s="1"/>
      <c r="G527" s="1"/>
    </row>
    <row r="528" spans="4:7" ht="16.5">
      <c r="D528" s="4"/>
      <c r="F528" s="1"/>
      <c r="G528" s="1"/>
    </row>
    <row r="529" spans="4:7" ht="16.5">
      <c r="D529" s="4"/>
      <c r="F529" s="1"/>
      <c r="G529" s="1"/>
    </row>
    <row r="530" spans="4:7" ht="16.5">
      <c r="D530" s="4"/>
      <c r="F530" s="1"/>
      <c r="G530" s="1"/>
    </row>
    <row r="531" spans="4:7" ht="16.5">
      <c r="D531" s="4"/>
      <c r="F531" s="1"/>
      <c r="G531" s="1"/>
    </row>
    <row r="532" spans="4:7" ht="16.5">
      <c r="D532" s="4"/>
      <c r="F532" s="1"/>
      <c r="G532" s="1"/>
    </row>
    <row r="533" spans="4:7" ht="16.5">
      <c r="D533" s="4"/>
      <c r="F533" s="1"/>
      <c r="G533" s="1"/>
    </row>
    <row r="534" spans="4:7" ht="16.5">
      <c r="D534" s="4"/>
      <c r="F534" s="1"/>
      <c r="G534" s="1"/>
    </row>
    <row r="535" spans="4:7" ht="16.5">
      <c r="D535" s="4"/>
      <c r="F535" s="1"/>
      <c r="G535" s="1"/>
    </row>
    <row r="536" spans="4:7" ht="16.5">
      <c r="D536" s="4"/>
      <c r="F536" s="1"/>
      <c r="G536" s="1"/>
    </row>
    <row r="537" spans="4:7" ht="16.5">
      <c r="D537" s="4"/>
      <c r="F537" s="1"/>
      <c r="G537" s="1"/>
    </row>
    <row r="538" spans="4:7" ht="16.5">
      <c r="D538" s="4"/>
      <c r="F538" s="1"/>
      <c r="G538" s="1"/>
    </row>
    <row r="539" spans="4:7" ht="16.5">
      <c r="D539" s="4"/>
      <c r="F539" s="1"/>
      <c r="G539" s="1"/>
    </row>
    <row r="540" spans="4:7" ht="16.5">
      <c r="D540" s="4"/>
      <c r="F540" s="1"/>
      <c r="G540" s="1"/>
    </row>
    <row r="541" spans="4:7" ht="16.5">
      <c r="D541" s="4"/>
      <c r="F541" s="1"/>
      <c r="G541" s="1"/>
    </row>
    <row r="542" spans="4:7" ht="16.5">
      <c r="D542" s="4"/>
      <c r="F542" s="1"/>
      <c r="G542" s="1"/>
    </row>
    <row r="543" spans="4:7" ht="16.5">
      <c r="D543" s="4"/>
      <c r="F543" s="1"/>
      <c r="G543" s="1"/>
    </row>
    <row r="544" spans="4:7" ht="16.5">
      <c r="D544" s="4"/>
      <c r="F544" s="1"/>
      <c r="G544" s="1"/>
    </row>
    <row r="545" spans="4:7" ht="16.5">
      <c r="D545" s="4"/>
      <c r="F545" s="1"/>
      <c r="G545" s="1"/>
    </row>
    <row r="546" spans="4:7" ht="16.5">
      <c r="D546" s="4"/>
      <c r="F546" s="1"/>
      <c r="G546" s="1"/>
    </row>
    <row r="547" spans="4:7" ht="16.5">
      <c r="D547" s="4"/>
      <c r="F547" s="1"/>
      <c r="G547" s="1"/>
    </row>
    <row r="548" spans="4:7" ht="16.5">
      <c r="D548" s="4"/>
      <c r="F548" s="1"/>
      <c r="G548" s="1"/>
    </row>
    <row r="549" spans="4:7" ht="16.5">
      <c r="D549" s="4"/>
      <c r="F549" s="1"/>
      <c r="G549" s="1"/>
    </row>
    <row r="550" spans="4:7" ht="16.5">
      <c r="D550" s="4"/>
      <c r="F550" s="1"/>
      <c r="G550" s="1"/>
    </row>
    <row r="551" spans="4:7" ht="16.5">
      <c r="D551" s="4"/>
      <c r="F551" s="1"/>
      <c r="G551" s="1"/>
    </row>
    <row r="552" spans="4:7" ht="16.5">
      <c r="D552" s="4"/>
      <c r="F552" s="1"/>
      <c r="G552" s="1"/>
    </row>
    <row r="553" spans="4:7" ht="16.5">
      <c r="D553" s="4"/>
      <c r="F553" s="1"/>
      <c r="G553" s="1"/>
    </row>
    <row r="554" spans="4:7" ht="16.5">
      <c r="D554" s="4"/>
      <c r="F554" s="1"/>
      <c r="G554" s="1"/>
    </row>
    <row r="555" spans="4:7" ht="16.5">
      <c r="D555" s="4"/>
      <c r="F555" s="1"/>
      <c r="G555" s="1"/>
    </row>
    <row r="556" spans="4:7" ht="16.5">
      <c r="D556" s="4"/>
      <c r="F556" s="1"/>
      <c r="G556" s="1"/>
    </row>
    <row r="557" spans="4:7" ht="16.5">
      <c r="D557" s="4"/>
      <c r="F557" s="1"/>
      <c r="G557" s="1"/>
    </row>
    <row r="558" spans="4:7" ht="16.5">
      <c r="D558" s="4"/>
      <c r="F558" s="1"/>
      <c r="G558" s="1"/>
    </row>
    <row r="559" spans="4:7" ht="16.5">
      <c r="D559" s="4"/>
      <c r="F559" s="1"/>
      <c r="G559" s="1"/>
    </row>
    <row r="560" spans="4:7" ht="16.5">
      <c r="D560" s="4"/>
      <c r="F560" s="1"/>
      <c r="G560" s="1"/>
    </row>
    <row r="561" spans="4:7" ht="16.5">
      <c r="D561" s="4"/>
      <c r="F561" s="1"/>
      <c r="G561" s="1"/>
    </row>
    <row r="562" spans="4:7" ht="16.5">
      <c r="D562" s="4"/>
      <c r="F562" s="1"/>
      <c r="G562" s="1"/>
    </row>
    <row r="563" spans="4:7" ht="16.5">
      <c r="D563" s="4"/>
      <c r="F563" s="1"/>
      <c r="G563" s="1"/>
    </row>
    <row r="564" spans="4:7" ht="16.5">
      <c r="D564" s="4"/>
      <c r="F564" s="1"/>
      <c r="G564" s="1"/>
    </row>
    <row r="565" spans="4:7" ht="16.5">
      <c r="D565" s="4"/>
      <c r="F565" s="1"/>
      <c r="G565" s="1"/>
    </row>
    <row r="566" spans="4:7" ht="16.5">
      <c r="D566" s="4"/>
      <c r="F566" s="1"/>
      <c r="G566" s="1"/>
    </row>
    <row r="567" spans="4:7" ht="16.5">
      <c r="D567" s="4"/>
      <c r="F567" s="1"/>
      <c r="G567" s="1"/>
    </row>
    <row r="568" spans="4:7" ht="16.5">
      <c r="D568" s="4"/>
      <c r="F568" s="1"/>
      <c r="G568" s="1"/>
    </row>
    <row r="569" spans="4:7" ht="16.5">
      <c r="D569" s="4"/>
      <c r="F569" s="1"/>
      <c r="G569" s="1"/>
    </row>
    <row r="570" spans="4:7" ht="16.5">
      <c r="D570" s="4"/>
      <c r="F570" s="1"/>
      <c r="G570" s="1"/>
    </row>
    <row r="571" spans="4:7" ht="16.5">
      <c r="D571" s="4"/>
      <c r="F571" s="1"/>
      <c r="G571" s="1"/>
    </row>
    <row r="572" spans="4:7" ht="16.5">
      <c r="D572" s="4"/>
      <c r="F572" s="1"/>
      <c r="G572" s="1"/>
    </row>
    <row r="573" spans="4:7" ht="16.5">
      <c r="D573" s="4"/>
      <c r="F573" s="1"/>
      <c r="G573" s="1"/>
    </row>
    <row r="574" spans="4:7" ht="16.5">
      <c r="D574" s="4"/>
      <c r="F574" s="1"/>
      <c r="G574" s="1"/>
    </row>
    <row r="575" spans="4:7" ht="16.5">
      <c r="D575" s="4"/>
      <c r="F575" s="1"/>
      <c r="G575" s="1"/>
    </row>
    <row r="576" spans="4:7" ht="16.5">
      <c r="D576" s="4"/>
      <c r="F576" s="1"/>
      <c r="G576" s="1"/>
    </row>
    <row r="577" spans="4:7" ht="16.5">
      <c r="D577" s="4"/>
      <c r="F577" s="1"/>
      <c r="G577" s="1"/>
    </row>
    <row r="578" spans="4:7" ht="16.5">
      <c r="D578" s="4"/>
      <c r="F578" s="1"/>
      <c r="G578" s="1"/>
    </row>
    <row r="579" spans="4:7" ht="16.5">
      <c r="D579" s="4"/>
      <c r="F579" s="1"/>
      <c r="G579" s="1"/>
    </row>
    <row r="580" spans="4:7" ht="16.5">
      <c r="D580" s="4"/>
      <c r="F580" s="1"/>
      <c r="G580" s="1"/>
    </row>
    <row r="581" spans="4:7" ht="16.5">
      <c r="D581" s="4"/>
      <c r="F581" s="1"/>
      <c r="G581" s="1"/>
    </row>
    <row r="582" spans="4:7" ht="16.5">
      <c r="D582" s="4"/>
      <c r="F582" s="1"/>
      <c r="G582" s="1"/>
    </row>
    <row r="583" spans="4:7" ht="16.5">
      <c r="D583" s="4"/>
      <c r="F583" s="1"/>
      <c r="G583" s="1"/>
    </row>
    <row r="584" spans="4:7" ht="16.5">
      <c r="D584" s="4"/>
      <c r="F584" s="1"/>
      <c r="G584" s="1"/>
    </row>
    <row r="585" spans="4:7" ht="16.5">
      <c r="D585" s="4"/>
      <c r="F585" s="1"/>
      <c r="G585" s="1"/>
    </row>
    <row r="586" spans="4:7" ht="16.5">
      <c r="D586" s="4"/>
      <c r="F586" s="1"/>
      <c r="G586" s="1"/>
    </row>
    <row r="587" spans="4:7" ht="16.5">
      <c r="D587" s="4"/>
      <c r="F587" s="1"/>
      <c r="G587" s="1"/>
    </row>
    <row r="588" spans="4:7" ht="16.5">
      <c r="D588" s="4"/>
      <c r="F588" s="1"/>
      <c r="G588" s="1"/>
    </row>
    <row r="589" spans="4:7" ht="16.5">
      <c r="D589" s="4"/>
      <c r="F589" s="1"/>
      <c r="G589" s="1"/>
    </row>
    <row r="590" spans="4:7" ht="16.5">
      <c r="D590" s="4"/>
      <c r="F590" s="1"/>
      <c r="G590" s="1"/>
    </row>
    <row r="591" spans="4:7" ht="16.5">
      <c r="D591" s="4"/>
      <c r="F591" s="1"/>
      <c r="G591" s="1"/>
    </row>
    <row r="592" spans="4:7" ht="16.5">
      <c r="D592" s="4"/>
      <c r="F592" s="1"/>
      <c r="G592" s="1"/>
    </row>
    <row r="593" spans="4:7" ht="16.5">
      <c r="D593" s="4"/>
      <c r="F593" s="1"/>
      <c r="G593" s="1"/>
    </row>
    <row r="594" spans="4:7" ht="16.5">
      <c r="D594" s="4"/>
      <c r="F594" s="1"/>
      <c r="G594" s="1"/>
    </row>
    <row r="595" spans="4:7" ht="16.5">
      <c r="D595" s="4"/>
      <c r="F595" s="1"/>
      <c r="G595" s="1"/>
    </row>
    <row r="596" spans="4:7" ht="16.5">
      <c r="D596" s="4"/>
      <c r="F596" s="1"/>
      <c r="G596" s="1"/>
    </row>
    <row r="597" spans="4:7" ht="16.5">
      <c r="D597" s="4"/>
      <c r="F597" s="1"/>
      <c r="G597" s="1"/>
    </row>
    <row r="598" spans="4:7" ht="16.5">
      <c r="D598" s="4"/>
      <c r="F598" s="1"/>
      <c r="G598" s="1"/>
    </row>
    <row r="599" spans="4:7" ht="16.5">
      <c r="D599" s="4"/>
      <c r="F599" s="1"/>
      <c r="G599" s="1"/>
    </row>
    <row r="600" spans="4:7" ht="16.5">
      <c r="D600" s="4"/>
      <c r="F600" s="1"/>
      <c r="G600" s="1"/>
    </row>
    <row r="601" spans="4:7" ht="16.5">
      <c r="D601" s="4"/>
      <c r="F601" s="1"/>
      <c r="G601" s="1"/>
    </row>
    <row r="602" spans="4:7" ht="16.5">
      <c r="D602" s="4"/>
      <c r="F602" s="1"/>
      <c r="G602" s="1"/>
    </row>
    <row r="603" spans="4:7" ht="16.5">
      <c r="D603" s="4"/>
      <c r="F603" s="1"/>
      <c r="G603" s="1"/>
    </row>
    <row r="604" spans="4:7" ht="16.5">
      <c r="D604" s="4"/>
      <c r="F604" s="1"/>
      <c r="G604" s="1"/>
    </row>
    <row r="605" spans="4:7" ht="16.5">
      <c r="D605" s="4"/>
      <c r="F605" s="1"/>
      <c r="G605" s="1"/>
    </row>
    <row r="606" spans="4:7" ht="16.5">
      <c r="D606" s="4"/>
      <c r="F606" s="1"/>
      <c r="G606" s="1"/>
    </row>
    <row r="607" spans="4:7" ht="16.5">
      <c r="D607" s="4"/>
      <c r="F607" s="1"/>
      <c r="G607" s="1"/>
    </row>
    <row r="608" spans="4:7" ht="16.5">
      <c r="D608" s="4"/>
      <c r="F608" s="1"/>
      <c r="G608" s="1"/>
    </row>
    <row r="609" spans="4:7" ht="16.5">
      <c r="D609" s="4"/>
      <c r="F609" s="1"/>
      <c r="G609" s="1"/>
    </row>
    <row r="610" spans="4:7" ht="16.5">
      <c r="D610" s="4"/>
      <c r="F610" s="1"/>
      <c r="G610" s="1"/>
    </row>
    <row r="611" spans="4:7" ht="16.5">
      <c r="D611" s="4"/>
      <c r="F611" s="1"/>
      <c r="G611" s="1"/>
    </row>
    <row r="612" spans="4:7" ht="16.5">
      <c r="D612" s="4"/>
      <c r="F612" s="1"/>
      <c r="G612" s="1"/>
    </row>
    <row r="613" spans="4:7" ht="16.5">
      <c r="D613" s="4"/>
      <c r="F613" s="1"/>
      <c r="G613" s="1"/>
    </row>
    <row r="614" spans="4:7" ht="16.5">
      <c r="D614" s="4"/>
      <c r="F614" s="1"/>
      <c r="G614" s="1"/>
    </row>
    <row r="615" spans="4:7" ht="16.5">
      <c r="D615" s="4"/>
      <c r="F615" s="1"/>
      <c r="G615" s="1"/>
    </row>
    <row r="616" spans="4:7" ht="16.5">
      <c r="D616" s="4"/>
      <c r="F616" s="1"/>
      <c r="G616" s="1"/>
    </row>
    <row r="617" spans="4:7" ht="16.5">
      <c r="D617" s="4"/>
      <c r="F617" s="1"/>
      <c r="G617" s="1"/>
    </row>
    <row r="618" spans="4:7" ht="16.5">
      <c r="D618" s="4"/>
      <c r="F618" s="1"/>
      <c r="G618" s="1"/>
    </row>
    <row r="619" spans="4:7" ht="16.5">
      <c r="D619" s="4"/>
      <c r="F619" s="1"/>
      <c r="G619" s="1"/>
    </row>
    <row r="620" spans="4:7" ht="16.5">
      <c r="D620" s="4"/>
      <c r="F620" s="1"/>
      <c r="G620" s="1"/>
    </row>
    <row r="621" spans="4:7" ht="16.5">
      <c r="D621" s="4"/>
      <c r="F621" s="1"/>
      <c r="G621" s="1"/>
    </row>
    <row r="622" spans="4:7" ht="16.5">
      <c r="D622" s="4"/>
      <c r="F622" s="1"/>
      <c r="G622" s="1"/>
    </row>
    <row r="623" spans="4:7" ht="16.5">
      <c r="D623" s="4"/>
      <c r="F623" s="1"/>
      <c r="G623" s="1"/>
    </row>
    <row r="624" spans="4:7" ht="16.5">
      <c r="D624" s="4"/>
      <c r="F624" s="1"/>
      <c r="G624" s="1"/>
    </row>
    <row r="625" spans="4:7" ht="16.5">
      <c r="D625" s="4"/>
      <c r="F625" s="1"/>
      <c r="G625" s="1"/>
    </row>
    <row r="626" spans="4:7" ht="16.5">
      <c r="D626" s="4"/>
      <c r="F626" s="1"/>
      <c r="G626" s="1"/>
    </row>
    <row r="627" spans="4:7" ht="16.5">
      <c r="D627" s="4"/>
      <c r="F627" s="1"/>
      <c r="G627" s="1"/>
    </row>
    <row r="628" spans="4:7" ht="16.5">
      <c r="D628" s="4"/>
      <c r="F628" s="1"/>
      <c r="G628" s="1"/>
    </row>
    <row r="629" spans="4:7" ht="16.5">
      <c r="D629" s="4"/>
      <c r="F629" s="1"/>
      <c r="G629" s="1"/>
    </row>
    <row r="630" spans="4:7" ht="16.5">
      <c r="D630" s="4"/>
      <c r="F630" s="1"/>
      <c r="G630" s="1"/>
    </row>
    <row r="631" spans="4:7" ht="16.5">
      <c r="D631" s="4"/>
      <c r="F631" s="1"/>
      <c r="G631" s="1"/>
    </row>
    <row r="632" spans="4:7" ht="16.5">
      <c r="D632" s="4"/>
      <c r="F632" s="1"/>
      <c r="G632" s="1"/>
    </row>
    <row r="633" spans="4:7" ht="16.5">
      <c r="D633" s="4"/>
      <c r="F633" s="1"/>
      <c r="G633" s="1"/>
    </row>
    <row r="634" spans="4:7" ht="16.5">
      <c r="D634" s="4"/>
      <c r="F634" s="1"/>
      <c r="G634" s="1"/>
    </row>
    <row r="635" spans="4:7" ht="16.5">
      <c r="D635" s="4"/>
      <c r="F635" s="1"/>
      <c r="G635" s="1"/>
    </row>
    <row r="636" spans="4:7" ht="16.5">
      <c r="D636" s="4"/>
      <c r="F636" s="1"/>
      <c r="G636" s="1"/>
    </row>
    <row r="637" spans="4:7" ht="16.5">
      <c r="D637" s="4"/>
      <c r="F637" s="1"/>
      <c r="G637" s="1"/>
    </row>
    <row r="638" spans="4:7" ht="16.5">
      <c r="D638" s="4"/>
      <c r="F638" s="1"/>
      <c r="G638" s="1"/>
    </row>
    <row r="639" spans="4:7" ht="16.5">
      <c r="D639" s="4"/>
      <c r="F639" s="1"/>
      <c r="G639" s="1"/>
    </row>
    <row r="640" spans="4:7" ht="16.5">
      <c r="D640" s="4"/>
      <c r="F640" s="1"/>
      <c r="G640" s="1"/>
    </row>
    <row r="641" spans="4:7" ht="16.5">
      <c r="D641" s="4"/>
      <c r="F641" s="1"/>
      <c r="G641" s="1"/>
    </row>
    <row r="642" spans="4:7" ht="16.5">
      <c r="D642" s="4"/>
      <c r="F642" s="1"/>
      <c r="G642" s="1"/>
    </row>
    <row r="643" spans="4:7" ht="16.5">
      <c r="D643" s="4"/>
      <c r="F643" s="1"/>
      <c r="G643" s="1"/>
    </row>
    <row r="644" spans="4:7" ht="16.5">
      <c r="D644" s="4"/>
      <c r="F644" s="1"/>
      <c r="G644" s="1"/>
    </row>
    <row r="645" spans="4:7" ht="16.5">
      <c r="D645" s="4"/>
      <c r="F645" s="1"/>
      <c r="G645" s="1"/>
    </row>
    <row r="646" spans="4:7" ht="16.5">
      <c r="D646" s="4"/>
      <c r="F646" s="1"/>
      <c r="G646" s="1"/>
    </row>
    <row r="647" spans="4:7" ht="16.5">
      <c r="D647" s="4"/>
      <c r="F647" s="1"/>
      <c r="G647" s="1"/>
    </row>
    <row r="648" spans="4:7" ht="16.5">
      <c r="D648" s="4"/>
      <c r="F648" s="1"/>
      <c r="G648" s="1"/>
    </row>
    <row r="649" spans="4:7" ht="16.5">
      <c r="D649" s="4"/>
      <c r="F649" s="1"/>
      <c r="G649" s="1"/>
    </row>
    <row r="650" spans="4:7" ht="16.5">
      <c r="D650" s="4"/>
      <c r="F650" s="1"/>
      <c r="G650" s="1"/>
    </row>
    <row r="651" spans="4:7" ht="16.5">
      <c r="D651" s="4"/>
      <c r="F651" s="1"/>
      <c r="G651" s="1"/>
    </row>
    <row r="652" spans="4:7" ht="16.5">
      <c r="D652" s="4"/>
      <c r="F652" s="1"/>
      <c r="G652" s="1"/>
    </row>
    <row r="653" spans="4:7" ht="16.5">
      <c r="D653" s="4"/>
      <c r="F653" s="1"/>
      <c r="G653" s="1"/>
    </row>
    <row r="654" spans="4:7" ht="16.5">
      <c r="D654" s="4"/>
      <c r="F654" s="1"/>
      <c r="G654" s="1"/>
    </row>
    <row r="655" spans="4:7" ht="16.5">
      <c r="D655" s="4"/>
      <c r="F655" s="1"/>
      <c r="G655" s="1"/>
    </row>
    <row r="656" spans="4:7" ht="16.5">
      <c r="D656" s="4"/>
      <c r="F656" s="1"/>
      <c r="G656" s="1"/>
    </row>
    <row r="657" spans="4:7" ht="16.5">
      <c r="D657" s="4"/>
      <c r="F657" s="1"/>
      <c r="G657" s="1"/>
    </row>
    <row r="658" spans="4:7" ht="16.5">
      <c r="D658" s="4"/>
      <c r="F658" s="1"/>
      <c r="G658" s="1"/>
    </row>
    <row r="659" spans="4:7" ht="16.5">
      <c r="D659" s="4"/>
      <c r="F659" s="1"/>
      <c r="G659" s="1"/>
    </row>
    <row r="660" spans="4:7" ht="16.5">
      <c r="D660" s="4"/>
      <c r="F660" s="1"/>
      <c r="G660" s="1"/>
    </row>
    <row r="661" spans="4:7" ht="16.5">
      <c r="D661" s="4"/>
      <c r="F661" s="1"/>
      <c r="G661" s="1"/>
    </row>
    <row r="662" spans="4:7" ht="16.5">
      <c r="D662" s="4"/>
      <c r="F662" s="1"/>
      <c r="G662" s="1"/>
    </row>
    <row r="663" spans="4:7" ht="16.5">
      <c r="D663" s="4"/>
      <c r="F663" s="1"/>
      <c r="G663" s="1"/>
    </row>
    <row r="664" spans="4:7" ht="16.5">
      <c r="D664" s="4"/>
      <c r="F664" s="1"/>
      <c r="G664" s="1"/>
    </row>
    <row r="665" spans="4:7" ht="16.5">
      <c r="D665" s="4"/>
      <c r="F665" s="1"/>
      <c r="G665" s="1"/>
    </row>
    <row r="666" spans="4:7" ht="16.5">
      <c r="D666" s="4"/>
      <c r="F666" s="1"/>
      <c r="G666" s="1"/>
    </row>
    <row r="667" spans="4:7" ht="16.5">
      <c r="D667" s="4"/>
      <c r="F667" s="1"/>
      <c r="G667" s="1"/>
    </row>
    <row r="668" spans="4:7" ht="16.5">
      <c r="D668" s="4"/>
      <c r="F668" s="1"/>
      <c r="G668" s="1"/>
    </row>
    <row r="669" spans="4:7" ht="16.5">
      <c r="D669" s="4"/>
      <c r="F669" s="1"/>
      <c r="G669" s="1"/>
    </row>
    <row r="670" spans="4:7" ht="16.5">
      <c r="D670" s="4"/>
      <c r="F670" s="1"/>
      <c r="G670" s="1"/>
    </row>
    <row r="671" spans="4:7" ht="16.5">
      <c r="D671" s="4"/>
      <c r="F671" s="1"/>
      <c r="G671" s="1"/>
    </row>
    <row r="672" spans="4:7" ht="16.5">
      <c r="D672" s="4"/>
      <c r="F672" s="1"/>
      <c r="G672" s="1"/>
    </row>
    <row r="673" spans="4:7" ht="16.5">
      <c r="D673" s="4"/>
      <c r="F673" s="1"/>
      <c r="G673" s="1"/>
    </row>
    <row r="674" spans="4:7" ht="16.5">
      <c r="D674" s="4"/>
      <c r="F674" s="1"/>
      <c r="G674" s="1"/>
    </row>
    <row r="675" spans="4:7" ht="16.5">
      <c r="D675" s="4"/>
      <c r="F675" s="1"/>
      <c r="G675" s="1"/>
    </row>
    <row r="676" spans="4:7" ht="16.5">
      <c r="D676" s="4"/>
      <c r="F676" s="1"/>
      <c r="G676" s="1"/>
    </row>
    <row r="677" spans="4:7" ht="16.5">
      <c r="D677" s="4"/>
      <c r="F677" s="1"/>
      <c r="G677" s="1"/>
    </row>
    <row r="678" spans="4:7" ht="16.5">
      <c r="D678" s="4"/>
      <c r="F678" s="1"/>
      <c r="G678" s="1"/>
    </row>
    <row r="679" spans="4:7" ht="16.5">
      <c r="D679" s="4"/>
      <c r="F679" s="1"/>
      <c r="G679" s="1"/>
    </row>
    <row r="680" spans="4:7" ht="16.5">
      <c r="D680" s="4"/>
      <c r="F680" s="1"/>
      <c r="G680" s="1"/>
    </row>
    <row r="681" spans="4:7" ht="16.5">
      <c r="D681" s="4"/>
      <c r="F681" s="1"/>
      <c r="G681" s="1"/>
    </row>
    <row r="682" spans="4:7" ht="16.5">
      <c r="D682" s="4"/>
      <c r="F682" s="1"/>
      <c r="G682" s="1"/>
    </row>
    <row r="683" spans="4:7" ht="16.5">
      <c r="D683" s="4"/>
      <c r="F683" s="1"/>
      <c r="G683" s="1"/>
    </row>
    <row r="684" spans="4:7" ht="16.5">
      <c r="D684" s="4"/>
      <c r="F684" s="1"/>
      <c r="G684" s="1"/>
    </row>
    <row r="685" spans="4:7" ht="16.5">
      <c r="D685" s="4"/>
      <c r="F685" s="1"/>
      <c r="G685" s="1"/>
    </row>
    <row r="686" spans="4:7" ht="16.5">
      <c r="D686" s="4"/>
      <c r="F686" s="1"/>
      <c r="G686" s="1"/>
    </row>
    <row r="687" spans="4:7" ht="16.5">
      <c r="D687" s="4"/>
      <c r="F687" s="1"/>
      <c r="G687" s="1"/>
    </row>
    <row r="688" spans="4:7" ht="16.5">
      <c r="D688" s="4"/>
      <c r="F688" s="1"/>
      <c r="G688" s="1"/>
    </row>
    <row r="689" spans="4:7" ht="16.5">
      <c r="D689" s="4"/>
      <c r="F689" s="1"/>
      <c r="G689" s="1"/>
    </row>
    <row r="690" spans="4:7" ht="16.5">
      <c r="D690" s="4"/>
      <c r="F690" s="1"/>
      <c r="G690" s="1"/>
    </row>
    <row r="691" spans="4:7" ht="16.5">
      <c r="D691" s="4"/>
      <c r="F691" s="1"/>
      <c r="G691" s="1"/>
    </row>
    <row r="692" spans="4:7" ht="16.5">
      <c r="D692" s="4"/>
      <c r="F692" s="1"/>
      <c r="G692" s="1"/>
    </row>
    <row r="693" spans="4:7" ht="16.5">
      <c r="D693" s="4"/>
      <c r="F693" s="1"/>
      <c r="G693" s="1"/>
    </row>
    <row r="694" spans="4:7" ht="16.5">
      <c r="D694" s="4"/>
      <c r="F694" s="1"/>
      <c r="G694" s="1"/>
    </row>
    <row r="695" spans="4:7" ht="16.5">
      <c r="D695" s="4"/>
      <c r="F695" s="1"/>
      <c r="G695" s="1"/>
    </row>
    <row r="696" spans="4:7" ht="16.5">
      <c r="D696" s="4"/>
      <c r="F696" s="1"/>
      <c r="G696" s="1"/>
    </row>
    <row r="697" spans="4:7" ht="16.5">
      <c r="D697" s="4"/>
      <c r="F697" s="1"/>
      <c r="G697" s="1"/>
    </row>
    <row r="698" spans="4:7" ht="16.5">
      <c r="D698" s="4"/>
      <c r="F698" s="1"/>
      <c r="G698" s="1"/>
    </row>
    <row r="699" spans="4:7" ht="16.5">
      <c r="D699" s="4"/>
      <c r="F699" s="1"/>
      <c r="G699" s="1"/>
    </row>
    <row r="700" spans="4:7" ht="16.5">
      <c r="D700" s="4"/>
      <c r="F700" s="1"/>
      <c r="G700" s="1"/>
    </row>
    <row r="701" spans="4:7" ht="16.5">
      <c r="D701" s="4"/>
      <c r="F701" s="1"/>
      <c r="G701" s="1"/>
    </row>
    <row r="702" spans="4:7" ht="16.5">
      <c r="D702" s="4"/>
      <c r="F702" s="1"/>
      <c r="G702" s="1"/>
    </row>
    <row r="703" spans="4:7" ht="16.5">
      <c r="D703" s="4"/>
      <c r="F703" s="1"/>
      <c r="G703" s="1"/>
    </row>
    <row r="704" spans="4:7" ht="16.5">
      <c r="D704" s="4"/>
      <c r="F704" s="1"/>
      <c r="G704" s="1"/>
    </row>
    <row r="705" spans="4:7" ht="16.5">
      <c r="D705" s="4"/>
      <c r="F705" s="1"/>
      <c r="G705" s="1"/>
    </row>
    <row r="706" spans="4:7" ht="16.5">
      <c r="D706" s="4"/>
      <c r="F706" s="1"/>
      <c r="G706" s="1"/>
    </row>
    <row r="707" spans="4:7" ht="16.5">
      <c r="D707" s="4"/>
      <c r="F707" s="1"/>
      <c r="G707" s="1"/>
    </row>
    <row r="708" spans="4:7" ht="16.5">
      <c r="D708" s="4"/>
      <c r="F708" s="1"/>
      <c r="G708" s="1"/>
    </row>
    <row r="709" spans="4:7" ht="16.5">
      <c r="D709" s="4"/>
      <c r="F709" s="1"/>
      <c r="G709" s="1"/>
    </row>
    <row r="710" spans="4:7" ht="16.5">
      <c r="D710" s="4"/>
      <c r="F710" s="1"/>
      <c r="G710" s="1"/>
    </row>
    <row r="711" spans="4:7" ht="16.5">
      <c r="D711" s="4"/>
      <c r="F711" s="1"/>
      <c r="G711" s="1"/>
    </row>
    <row r="712" spans="4:7" ht="16.5">
      <c r="D712" s="4"/>
      <c r="F712" s="1"/>
      <c r="G712" s="1"/>
    </row>
    <row r="713" spans="4:7" ht="16.5">
      <c r="D713" s="4"/>
      <c r="F713" s="1"/>
      <c r="G713" s="1"/>
    </row>
    <row r="714" spans="4:7" ht="16.5">
      <c r="D714" s="4"/>
      <c r="F714" s="1"/>
      <c r="G714" s="1"/>
    </row>
    <row r="715" spans="4:7" ht="16.5">
      <c r="D715" s="4"/>
      <c r="F715" s="1"/>
      <c r="G715" s="1"/>
    </row>
    <row r="716" spans="4:7" ht="16.5">
      <c r="D716" s="4"/>
      <c r="F716" s="1"/>
      <c r="G716" s="1"/>
    </row>
    <row r="717" spans="4:7" ht="16.5">
      <c r="D717" s="4"/>
      <c r="F717" s="1"/>
      <c r="G717" s="1"/>
    </row>
    <row r="718" spans="4:7" ht="16.5">
      <c r="D718" s="4"/>
      <c r="F718" s="1"/>
      <c r="G718" s="1"/>
    </row>
    <row r="719" spans="4:7" ht="16.5">
      <c r="D719" s="4"/>
      <c r="F719" s="1"/>
      <c r="G719" s="1"/>
    </row>
    <row r="720" spans="4:7" ht="16.5">
      <c r="D720" s="4"/>
      <c r="F720" s="1"/>
      <c r="G720" s="1"/>
    </row>
    <row r="721" spans="4:7" ht="16.5">
      <c r="D721" s="4"/>
      <c r="F721" s="1"/>
      <c r="G721" s="1"/>
    </row>
    <row r="722" spans="4:7" ht="16.5">
      <c r="D722" s="4"/>
      <c r="F722" s="1"/>
      <c r="G722" s="1"/>
    </row>
    <row r="723" spans="4:7" ht="16.5">
      <c r="D723" s="4"/>
      <c r="F723" s="1"/>
      <c r="G723" s="1"/>
    </row>
    <row r="724" spans="4:7" ht="16.5">
      <c r="D724" s="4"/>
      <c r="F724" s="1"/>
      <c r="G724" s="1"/>
    </row>
    <row r="725" spans="4:7" ht="16.5">
      <c r="D725" s="4"/>
      <c r="F725" s="1"/>
      <c r="G725" s="1"/>
    </row>
    <row r="726" spans="4:7" ht="16.5">
      <c r="D726" s="4"/>
      <c r="F726" s="1"/>
      <c r="G726" s="1"/>
    </row>
    <row r="727" spans="4:7" ht="16.5">
      <c r="D727" s="4"/>
      <c r="F727" s="1"/>
      <c r="G727" s="1"/>
    </row>
    <row r="728" spans="4:7" ht="16.5">
      <c r="D728" s="4"/>
      <c r="F728" s="1"/>
      <c r="G728" s="1"/>
    </row>
    <row r="729" spans="4:7" ht="16.5">
      <c r="D729" s="4"/>
      <c r="F729" s="1"/>
      <c r="G729" s="1"/>
    </row>
    <row r="730" spans="4:7" ht="16.5">
      <c r="D730" s="4"/>
      <c r="F730" s="1"/>
      <c r="G730" s="1"/>
    </row>
    <row r="731" spans="4:7" ht="16.5">
      <c r="D731" s="4"/>
      <c r="F731" s="1"/>
      <c r="G731" s="1"/>
    </row>
    <row r="732" spans="4:7" ht="16.5">
      <c r="D732" s="4"/>
      <c r="F732" s="1"/>
      <c r="G732" s="1"/>
    </row>
    <row r="733" spans="4:7" ht="16.5">
      <c r="D733" s="4"/>
      <c r="F733" s="1"/>
      <c r="G733" s="1"/>
    </row>
    <row r="734" spans="4:7" ht="16.5">
      <c r="D734" s="4"/>
      <c r="F734" s="1"/>
      <c r="G734" s="1"/>
    </row>
    <row r="735" spans="4:7" ht="16.5">
      <c r="D735" s="4"/>
      <c r="F735" s="1"/>
      <c r="G735" s="1"/>
    </row>
    <row r="736" spans="4:7" ht="16.5">
      <c r="D736" s="4"/>
      <c r="F736" s="1"/>
      <c r="G736" s="1"/>
    </row>
    <row r="737" spans="4:7" ht="16.5">
      <c r="D737" s="4"/>
      <c r="F737" s="1"/>
      <c r="G737" s="1"/>
    </row>
    <row r="738" spans="4:7" ht="16.5">
      <c r="D738" s="4"/>
      <c r="F738" s="1"/>
      <c r="G738" s="1"/>
    </row>
    <row r="739" spans="4:7" ht="16.5">
      <c r="D739" s="4"/>
      <c r="F739" s="1"/>
      <c r="G739" s="1"/>
    </row>
    <row r="740" spans="4:7" ht="16.5">
      <c r="D740" s="4"/>
      <c r="F740" s="1"/>
      <c r="G740" s="1"/>
    </row>
    <row r="741" spans="4:7" ht="16.5">
      <c r="D741" s="4"/>
      <c r="F741" s="1"/>
      <c r="G741" s="1"/>
    </row>
    <row r="742" spans="4:7" ht="16.5">
      <c r="D742" s="4"/>
      <c r="F742" s="1"/>
      <c r="G742" s="1"/>
    </row>
    <row r="743" spans="4:7" ht="16.5">
      <c r="D743" s="4"/>
      <c r="F743" s="1"/>
      <c r="G743" s="1"/>
    </row>
    <row r="744" spans="4:7" ht="16.5">
      <c r="D744" s="4"/>
      <c r="F744" s="1"/>
      <c r="G744" s="1"/>
    </row>
    <row r="745" spans="4:7" ht="16.5">
      <c r="D745" s="4"/>
      <c r="F745" s="1"/>
      <c r="G745" s="1"/>
    </row>
    <row r="746" spans="4:7" ht="16.5">
      <c r="D746" s="4"/>
      <c r="F746" s="1"/>
      <c r="G746" s="1"/>
    </row>
    <row r="747" spans="4:7" ht="16.5">
      <c r="D747" s="4"/>
      <c r="F747" s="1"/>
      <c r="G747" s="1"/>
    </row>
    <row r="748" spans="4:7" ht="16.5">
      <c r="D748" s="4"/>
      <c r="F748" s="1"/>
      <c r="G748" s="1"/>
    </row>
    <row r="749" spans="4:7" ht="16.5">
      <c r="D749" s="4"/>
      <c r="F749" s="1"/>
      <c r="G749" s="1"/>
    </row>
    <row r="750" spans="4:7" ht="16.5">
      <c r="D750" s="4"/>
      <c r="F750" s="1"/>
      <c r="G750" s="1"/>
    </row>
    <row r="751" spans="4:7" ht="16.5">
      <c r="D751" s="4"/>
      <c r="F751" s="1"/>
      <c r="G751" s="1"/>
    </row>
    <row r="752" spans="4:7" ht="16.5">
      <c r="D752" s="4"/>
      <c r="F752" s="1"/>
      <c r="G752" s="1"/>
    </row>
    <row r="753" spans="1:7" ht="16.5">
      <c r="D753" s="4"/>
      <c r="F753" s="1"/>
      <c r="G753" s="1"/>
    </row>
    <row r="754" spans="1:7" ht="16.5">
      <c r="D754" s="4"/>
      <c r="F754" s="1"/>
      <c r="G754" s="1"/>
    </row>
    <row r="755" spans="1:7" ht="16.5">
      <c r="D755" s="4"/>
      <c r="F755" s="1"/>
      <c r="G755" s="1"/>
    </row>
    <row r="756" spans="1:7" ht="16.5">
      <c r="D756" s="4"/>
      <c r="F756" s="1"/>
      <c r="G756" s="1"/>
    </row>
    <row r="757" spans="1:7" ht="16.5">
      <c r="D757" s="4"/>
      <c r="F757" s="1"/>
      <c r="G757" s="1"/>
    </row>
    <row r="758" spans="1:7" ht="16.5">
      <c r="D758" s="4"/>
    </row>
    <row r="759" spans="1:7" ht="16.5">
      <c r="D759" s="4"/>
    </row>
    <row r="760" spans="1:7" ht="16.5">
      <c r="A760" s="13"/>
      <c r="B760" s="13"/>
      <c r="C760" s="13"/>
      <c r="D760" s="4"/>
      <c r="E760" s="7"/>
      <c r="F760" s="7"/>
      <c r="G760" s="7"/>
    </row>
    <row r="761" spans="1:7" ht="16.5">
      <c r="A761" s="13"/>
      <c r="B761" s="13"/>
      <c r="C761" s="13"/>
      <c r="D761" s="4"/>
      <c r="E761" s="7"/>
      <c r="F761" s="7"/>
      <c r="G761" s="7"/>
    </row>
    <row r="762" spans="1:7" ht="16.5">
      <c r="A762" s="13"/>
      <c r="B762" s="13"/>
      <c r="C762" s="13"/>
      <c r="D762" s="4"/>
      <c r="E762" s="7"/>
      <c r="F762" s="7"/>
      <c r="G762" s="7"/>
    </row>
    <row r="763" spans="1:7" ht="16.5">
      <c r="A763" s="13"/>
      <c r="B763" s="13"/>
      <c r="C763" s="13"/>
      <c r="D763" s="4"/>
      <c r="E763" s="7"/>
      <c r="F763" s="7"/>
      <c r="G763" s="7"/>
    </row>
    <row r="764" spans="1:7" ht="16.5">
      <c r="A764" s="13"/>
      <c r="B764" s="13"/>
      <c r="C764" s="13"/>
      <c r="D764" s="4"/>
      <c r="E764" s="7"/>
      <c r="F764" s="7"/>
      <c r="G764" s="7"/>
    </row>
    <row r="765" spans="1:7" ht="16.5">
      <c r="A765" s="13"/>
      <c r="B765" s="13"/>
      <c r="C765" s="13"/>
      <c r="D765" s="4"/>
      <c r="E765" s="7"/>
      <c r="F765" s="7"/>
      <c r="G765" s="7"/>
    </row>
    <row r="766" spans="1:7" ht="16.5">
      <c r="A766" s="13"/>
      <c r="B766" s="13"/>
      <c r="C766" s="13"/>
      <c r="D766" s="4"/>
      <c r="E766" s="7"/>
      <c r="F766" s="7"/>
      <c r="G766" s="7"/>
    </row>
    <row r="767" spans="1:7" ht="16.5">
      <c r="A767" s="13"/>
      <c r="B767" s="13"/>
      <c r="C767" s="13"/>
      <c r="D767" s="4"/>
      <c r="E767" s="7"/>
      <c r="F767" s="7"/>
      <c r="G767" s="7"/>
    </row>
    <row r="768" spans="1:7" ht="16.5">
      <c r="A768" s="13"/>
      <c r="B768" s="13"/>
      <c r="C768" s="13"/>
      <c r="D768" s="4"/>
      <c r="E768" s="7"/>
      <c r="F768" s="7"/>
      <c r="G768" s="7"/>
    </row>
    <row r="769" spans="1:7" ht="16.5">
      <c r="A769" s="13"/>
      <c r="B769" s="13"/>
      <c r="C769" s="13"/>
      <c r="D769" s="4"/>
      <c r="E769" s="7"/>
      <c r="F769" s="7"/>
      <c r="G769" s="7"/>
    </row>
    <row r="770" spans="1:7" ht="16.5">
      <c r="A770" s="13"/>
      <c r="B770" s="13"/>
      <c r="C770" s="13"/>
      <c r="D770" s="4"/>
      <c r="E770" s="7"/>
      <c r="F770" s="7"/>
      <c r="G770" s="7"/>
    </row>
    <row r="771" spans="1:7" ht="16.5">
      <c r="A771" s="13"/>
      <c r="B771" s="13"/>
      <c r="C771" s="13"/>
      <c r="D771" s="4"/>
      <c r="E771" s="7"/>
      <c r="F771" s="7"/>
      <c r="G771" s="7"/>
    </row>
    <row r="772" spans="1:7" ht="16.5">
      <c r="A772" s="13"/>
      <c r="B772" s="13"/>
      <c r="C772" s="13"/>
      <c r="D772" s="4"/>
      <c r="E772" s="7"/>
      <c r="F772" s="7"/>
      <c r="G772" s="7"/>
    </row>
    <row r="773" spans="1:7" ht="16.5">
      <c r="A773" s="13"/>
      <c r="B773" s="13"/>
      <c r="C773" s="13"/>
      <c r="D773" s="4"/>
      <c r="E773" s="7"/>
      <c r="F773" s="7"/>
      <c r="G773" s="7"/>
    </row>
    <row r="774" spans="1:7" ht="16.5">
      <c r="A774" s="13"/>
      <c r="B774" s="13"/>
      <c r="C774" s="13"/>
      <c r="D774" s="4"/>
      <c r="E774" s="7"/>
      <c r="F774" s="7"/>
      <c r="G774" s="7"/>
    </row>
    <row r="775" spans="1:7" ht="16.5">
      <c r="A775" s="13"/>
      <c r="B775" s="13"/>
      <c r="C775" s="13"/>
      <c r="D775" s="4"/>
      <c r="E775" s="7"/>
      <c r="F775" s="7"/>
      <c r="G775" s="7"/>
    </row>
    <row r="776" spans="1:7" ht="16.5">
      <c r="A776" s="13"/>
      <c r="B776" s="13"/>
      <c r="C776" s="13"/>
      <c r="D776" s="4"/>
      <c r="E776" s="7"/>
      <c r="F776" s="7"/>
      <c r="G776" s="7"/>
    </row>
    <row r="777" spans="1:7" ht="16.5">
      <c r="A777" s="13"/>
      <c r="B777" s="13"/>
      <c r="C777" s="13"/>
      <c r="D777" s="4"/>
      <c r="E777" s="7"/>
      <c r="F777" s="7"/>
      <c r="G777" s="7"/>
    </row>
    <row r="778" spans="1:7" ht="16.5">
      <c r="A778" s="13"/>
      <c r="B778" s="13"/>
      <c r="C778" s="13"/>
      <c r="D778" s="4"/>
      <c r="E778" s="7"/>
      <c r="F778" s="7"/>
      <c r="G778" s="7"/>
    </row>
    <row r="779" spans="1:7" ht="16.5">
      <c r="A779" s="13"/>
      <c r="B779" s="13"/>
      <c r="C779" s="13"/>
      <c r="D779" s="4"/>
      <c r="E779" s="7"/>
      <c r="F779" s="7"/>
      <c r="G779" s="7"/>
    </row>
    <row r="780" spans="1:7" ht="16.5">
      <c r="A780" s="13"/>
      <c r="B780" s="13"/>
      <c r="C780" s="13"/>
      <c r="D780" s="4"/>
      <c r="E780" s="7"/>
      <c r="F780" s="7"/>
      <c r="G780" s="7"/>
    </row>
    <row r="781" spans="1:7" ht="16.5">
      <c r="A781" s="13"/>
      <c r="B781" s="13"/>
      <c r="C781" s="13"/>
      <c r="D781" s="4"/>
      <c r="E781" s="7"/>
      <c r="F781" s="7"/>
      <c r="G781" s="7"/>
    </row>
    <row r="782" spans="1:7" ht="16.5">
      <c r="A782" s="3"/>
      <c r="B782" s="3"/>
      <c r="C782" s="3"/>
      <c r="D782" s="4"/>
      <c r="E782" s="10"/>
      <c r="F782" s="11"/>
      <c r="G782" s="11"/>
    </row>
    <row r="783" spans="1:7" ht="16.5">
      <c r="A783" s="3"/>
      <c r="B783" s="3"/>
      <c r="C783" s="3"/>
      <c r="D783" s="4"/>
      <c r="E783" s="10"/>
      <c r="F783" s="11"/>
      <c r="G783" s="11"/>
    </row>
    <row r="784" spans="1:7" ht="16.5">
      <c r="A784" s="3"/>
      <c r="B784" s="3"/>
      <c r="C784" s="3"/>
      <c r="D784" s="4"/>
      <c r="E784" s="10"/>
      <c r="F784" s="11"/>
      <c r="G784" s="11"/>
    </row>
    <row r="785" spans="1:7" ht="16.5">
      <c r="A785" s="3"/>
      <c r="B785" s="3"/>
      <c r="C785" s="3"/>
      <c r="D785" s="4"/>
      <c r="E785" s="10"/>
      <c r="F785" s="11"/>
      <c r="G785" s="11"/>
    </row>
    <row r="786" spans="1:7" ht="16.5">
      <c r="A786" s="3"/>
      <c r="B786" s="3"/>
      <c r="C786" s="3"/>
      <c r="D786" s="4"/>
      <c r="E786" s="10"/>
      <c r="F786" s="11"/>
      <c r="G786" s="11"/>
    </row>
    <row r="787" spans="1:7" ht="16.5">
      <c r="A787" s="3"/>
      <c r="B787" s="3"/>
      <c r="C787" s="3"/>
      <c r="D787" s="4"/>
      <c r="E787" s="10"/>
      <c r="F787" s="11"/>
      <c r="G787" s="11"/>
    </row>
    <row r="788" spans="1:7" ht="16.5">
      <c r="A788" s="3"/>
      <c r="B788" s="3"/>
      <c r="C788" s="3"/>
      <c r="D788" s="4"/>
      <c r="E788" s="10"/>
      <c r="F788" s="11"/>
      <c r="G788" s="11"/>
    </row>
    <row r="789" spans="1:7" ht="16.5">
      <c r="A789" s="3"/>
      <c r="B789" s="3"/>
      <c r="C789" s="3"/>
      <c r="D789" s="4"/>
      <c r="E789" s="10"/>
      <c r="F789" s="11"/>
      <c r="G789" s="11"/>
    </row>
    <row r="790" spans="1:7" ht="16.5">
      <c r="A790" s="3"/>
      <c r="B790" s="3"/>
      <c r="C790" s="3"/>
      <c r="D790" s="4"/>
      <c r="E790" s="10"/>
      <c r="F790" s="11"/>
      <c r="G790" s="11"/>
    </row>
    <row r="791" spans="1:7" ht="16.5">
      <c r="A791" s="3"/>
      <c r="B791" s="3"/>
      <c r="C791" s="3"/>
      <c r="D791" s="4"/>
      <c r="E791" s="10"/>
      <c r="F791" s="11"/>
      <c r="G791" s="11"/>
    </row>
    <row r="792" spans="1:7" ht="16.5">
      <c r="A792" s="3"/>
      <c r="B792" s="3"/>
      <c r="C792" s="3"/>
      <c r="D792" s="4"/>
      <c r="E792" s="10"/>
      <c r="F792" s="11"/>
      <c r="G792" s="11"/>
    </row>
    <row r="793" spans="1:7" ht="16.5">
      <c r="A793" s="3"/>
      <c r="B793" s="3"/>
      <c r="C793" s="3"/>
      <c r="D793" s="4"/>
      <c r="E793" s="10"/>
      <c r="F793" s="11"/>
      <c r="G793" s="11"/>
    </row>
    <row r="794" spans="1:7" ht="16.5">
      <c r="A794" s="3"/>
      <c r="B794" s="3"/>
      <c r="C794" s="3"/>
      <c r="D794" s="4"/>
      <c r="E794" s="10"/>
      <c r="F794" s="11"/>
      <c r="G794" s="11"/>
    </row>
    <row r="795" spans="1:7" ht="16.5">
      <c r="A795" s="3"/>
      <c r="B795" s="3"/>
      <c r="C795" s="3"/>
      <c r="D795" s="4"/>
      <c r="E795" s="10"/>
      <c r="F795" s="11"/>
      <c r="G795" s="11"/>
    </row>
    <row r="796" spans="1:7" ht="16.5">
      <c r="A796" s="3"/>
      <c r="B796" s="3"/>
      <c r="C796" s="3"/>
      <c r="D796" s="4"/>
      <c r="E796" s="10"/>
      <c r="F796" s="11"/>
      <c r="G796" s="11"/>
    </row>
    <row r="797" spans="1:7" ht="16.5">
      <c r="A797" s="13"/>
      <c r="B797" s="13"/>
      <c r="C797" s="13"/>
      <c r="D797" s="4"/>
      <c r="E797" s="7"/>
      <c r="F797" s="7"/>
      <c r="G797" s="7"/>
    </row>
    <row r="798" spans="1:7" ht="16.5">
      <c r="A798" s="13"/>
      <c r="B798" s="13"/>
      <c r="C798" s="13"/>
      <c r="D798" s="4"/>
      <c r="E798" s="7"/>
      <c r="F798" s="7"/>
      <c r="G798" s="7"/>
    </row>
    <row r="799" spans="1:7" ht="16.5">
      <c r="A799" s="13"/>
      <c r="B799" s="13"/>
      <c r="C799" s="13"/>
      <c r="D799" s="4"/>
      <c r="E799" s="7"/>
      <c r="F799" s="7"/>
      <c r="G799" s="7"/>
    </row>
    <row r="800" spans="1:7" ht="16.5">
      <c r="A800" s="13"/>
      <c r="B800" s="13"/>
      <c r="C800" s="13"/>
      <c r="D800" s="4"/>
      <c r="E800" s="7"/>
      <c r="F800" s="7"/>
      <c r="G800" s="7"/>
    </row>
    <row r="801" spans="1:7" ht="16.5">
      <c r="A801" s="13"/>
      <c r="B801" s="13"/>
      <c r="C801" s="13"/>
      <c r="D801" s="4"/>
      <c r="E801" s="7"/>
      <c r="F801" s="7"/>
      <c r="G801" s="7"/>
    </row>
    <row r="802" spans="1:7" ht="16.5">
      <c r="A802" s="13"/>
      <c r="B802" s="13"/>
      <c r="C802" s="13"/>
      <c r="D802" s="4"/>
      <c r="E802" s="7"/>
      <c r="F802" s="7"/>
      <c r="G802" s="7"/>
    </row>
    <row r="803" spans="1:7" ht="16.5">
      <c r="A803" s="13"/>
      <c r="B803" s="13"/>
      <c r="C803" s="13"/>
      <c r="D803" s="4"/>
      <c r="E803" s="7"/>
      <c r="F803" s="7"/>
      <c r="G803" s="7"/>
    </row>
  </sheetData>
  <mergeCells count="23">
    <mergeCell ref="B101:F101"/>
    <mergeCell ref="C8:G8"/>
    <mergeCell ref="F111:G111"/>
    <mergeCell ref="A102:G102"/>
    <mergeCell ref="F103:G103"/>
    <mergeCell ref="F104:G104"/>
    <mergeCell ref="F105:G105"/>
    <mergeCell ref="F106:G106"/>
    <mergeCell ref="F107:G107"/>
    <mergeCell ref="F109:G109"/>
    <mergeCell ref="B100:F100"/>
    <mergeCell ref="B103:E105"/>
    <mergeCell ref="B6:G6"/>
    <mergeCell ref="A1:G1"/>
    <mergeCell ref="A2:G2"/>
    <mergeCell ref="A3:G3"/>
    <mergeCell ref="A4:G4"/>
    <mergeCell ref="A5:G5"/>
    <mergeCell ref="A7:G7"/>
    <mergeCell ref="C14:E14"/>
    <mergeCell ref="F14:G14"/>
    <mergeCell ref="B30:F30"/>
    <mergeCell ref="B83:F83"/>
  </mergeCells>
  <phoneticPr fontId="44" type="noConversion"/>
  <pageMargins left="0.7" right="0.2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 DUC</dc:creator>
  <cp:lastModifiedBy>ADMIN</cp:lastModifiedBy>
  <cp:lastPrinted>2022-11-17T08:14:37Z</cp:lastPrinted>
  <dcterms:created xsi:type="dcterms:W3CDTF">2018-07-29T18:17:51Z</dcterms:created>
  <dcterms:modified xsi:type="dcterms:W3CDTF">2026-10-06T06:35:14Z</dcterms:modified>
</cp:coreProperties>
</file>