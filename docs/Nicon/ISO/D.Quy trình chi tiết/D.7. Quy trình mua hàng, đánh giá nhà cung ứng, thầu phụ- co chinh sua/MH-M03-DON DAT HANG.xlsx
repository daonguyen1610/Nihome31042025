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65" windowWidth="14805" windowHeight="6750"/>
  </bookViews>
  <sheets>
    <sheet name="02- DE XUAT MUA HANG" sheetId="1" r:id="rId1"/>
    <sheet name="Sheet1" sheetId="2" r:id="rId2"/>
    <sheet name="Sheet2" sheetId="3" r:id="rId3"/>
  </sheets>
  <definedNames>
    <definedName name="_xlnm.Print_Area" localSheetId="0">'02- DE XUAT MUA HANG'!$B$1:$H$43</definedName>
  </definedNames>
  <calcPr calcId="144525"/>
</workbook>
</file>

<file path=xl/calcChain.xml><?xml version="1.0" encoding="utf-8"?>
<calcChain xmlns="http://schemas.openxmlformats.org/spreadsheetml/2006/main">
  <c r="L52" i="1" l="1"/>
  <c r="L51" i="1"/>
  <c r="L50" i="1"/>
  <c r="L47" i="1"/>
  <c r="L48" i="1"/>
  <c r="L49" i="1"/>
  <c r="L46" i="1"/>
  <c r="H22" i="3" l="1"/>
  <c r="H23" i="3" s="1"/>
  <c r="H21" i="3"/>
  <c r="H9" i="3"/>
  <c r="H10" i="3"/>
  <c r="H11" i="3"/>
  <c r="H8" i="3"/>
  <c r="H25" i="1" l="1"/>
  <c r="H27" i="1" s="1"/>
  <c r="M114" i="2" l="1"/>
  <c r="K114" i="2"/>
  <c r="M113" i="2"/>
  <c r="K113" i="2"/>
  <c r="M112" i="2"/>
  <c r="K112" i="2"/>
  <c r="M111" i="2"/>
  <c r="K111" i="2"/>
  <c r="M110" i="2"/>
  <c r="K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115" i="2" l="1"/>
  <c r="M116" i="2" s="1"/>
  <c r="M117" i="2" s="1"/>
</calcChain>
</file>

<file path=xl/sharedStrings.xml><?xml version="1.0" encoding="utf-8"?>
<sst xmlns="http://schemas.openxmlformats.org/spreadsheetml/2006/main" count="424" uniqueCount="180">
  <si>
    <t>NGƯỜI ĐẶT HÀNG</t>
  </si>
  <si>
    <t>TGĐ/TRƯỞNG BP ký duyệt</t>
  </si>
  <si>
    <t xml:space="preserve"> - Thời gian giao hàng/ Delivery time:</t>
  </si>
  <si>
    <t>Số/No:</t>
  </si>
  <si>
    <t>TÊN VẬT TƯ/ ITEMS</t>
  </si>
  <si>
    <t>SỐ LƯỢNG /QUANTITY</t>
  </si>
  <si>
    <t>ORDERER</t>
  </si>
  <si>
    <t>ĐƠN GIÁ / Unit price</t>
  </si>
  <si>
    <t>THÀNH TIỀN / Total</t>
  </si>
  <si>
    <t>ĐVT /UNIT</t>
  </si>
  <si>
    <t>ĐƠN ĐẶT HÀNG/ PURCHASE ORDER</t>
  </si>
  <si>
    <t>STT/ No</t>
  </si>
  <si>
    <t xml:space="preserve">Kính gửi/ Dear: </t>
  </si>
  <si>
    <t>CÔNG TY CỔ PHẦN TƯ VẤN ĐẦU TƯ XÂY DỰNG MỚI</t>
  </si>
  <si>
    <t>Địa chỉ: A008 Tầng trệt, Chung cư A1, Phan Tây Hồ, Phường 7, Q.Phú Nhuận, HCM</t>
  </si>
  <si>
    <t>Mã số thuế: 0304245347</t>
  </si>
  <si>
    <t>Công ty NICON có nhu cầu đặt hàng tại quý công ty theo chủng loại yêu cầu/Company NICON demand in quarter firm order by category requested:</t>
  </si>
  <si>
    <t xml:space="preserve">TP.HCM, ngày    tháng     năm </t>
  </si>
  <si>
    <t xml:space="preserve">Thuế/ VAT </t>
  </si>
  <si>
    <t>Tổng giá trị thanh toán/ Final amount</t>
  </si>
  <si>
    <t>Thông tin xuất hóa đơn/Billing information:</t>
  </si>
  <si>
    <t>Thông tin giao hàng/ Delivery information:</t>
  </si>
  <si>
    <t>Địa chỉ gửi hóa đơn, hồ sơ/ Adresses bill, records: Số 4, đường 31E, Phường An Phú, Quận 2, HCM           - 08 6281 4427</t>
  </si>
  <si>
    <t>Số/No: 0</t>
  </si>
  <si>
    <t>Ống PPR D50 PN10</t>
  </si>
  <si>
    <t>Đệ nhất/tđ</t>
  </si>
  <si>
    <t>m</t>
  </si>
  <si>
    <t>Ống PPR D40 PN10</t>
  </si>
  <si>
    <t>Ống PPR D32 PN10</t>
  </si>
  <si>
    <t>Ống PPR D25 PN10</t>
  </si>
  <si>
    <t>Ống PPR D20 PN10</t>
  </si>
  <si>
    <t>Tê PPR DN50/32</t>
  </si>
  <si>
    <t>Cái</t>
  </si>
  <si>
    <t>Tê PPR DN50/25</t>
  </si>
  <si>
    <t>Tê PPR DN50/20</t>
  </si>
  <si>
    <t>Tê PPR DN40/25</t>
  </si>
  <si>
    <t>Tê PPR DN40/20</t>
  </si>
  <si>
    <t>Tê PPR DN32/25</t>
  </si>
  <si>
    <t>Tê PPR DN25/20</t>
  </si>
  <si>
    <t>Tê PPR DN50</t>
  </si>
  <si>
    <t>Tê PPR DN40</t>
  </si>
  <si>
    <t>Tê PPR DN25</t>
  </si>
  <si>
    <t>Tê PPR DN20</t>
  </si>
  <si>
    <t>Tê ren PPR DN20</t>
  </si>
  <si>
    <t>Co PPR DN50</t>
  </si>
  <si>
    <t>Co PPR DN40</t>
  </si>
  <si>
    <t>Co PPR DN32</t>
  </si>
  <si>
    <t>Co PPR DN25</t>
  </si>
  <si>
    <t>Co PPR DN20</t>
  </si>
  <si>
    <t>Co giảm PPR DN32/25</t>
  </si>
  <si>
    <t>Co giảm PPR DN25/20</t>
  </si>
  <si>
    <t>Co ren PPR DN20</t>
  </si>
  <si>
    <t>Nối đều PPR DN50</t>
  </si>
  <si>
    <t>Nối đều PPR DN40</t>
  </si>
  <si>
    <t>Nối đều PPR DN32</t>
  </si>
  <si>
    <t>Nối đều PPR DN25</t>
  </si>
  <si>
    <t>Nối đều PPR DN20</t>
  </si>
  <si>
    <t>Nối giảm PPR DN50/32</t>
  </si>
  <si>
    <t>Nối giảm PPR DN50/25</t>
  </si>
  <si>
    <t>Nối giảm PPR DN50/20</t>
  </si>
  <si>
    <t>Van khóa DN25</t>
  </si>
  <si>
    <t>Van khóa DN20</t>
  </si>
  <si>
    <t>Van gạt DN20</t>
  </si>
  <si>
    <t>Ống mềm</t>
  </si>
  <si>
    <t>Cùm treo ống D50</t>
  </si>
  <si>
    <t>Cùm treo ống D32</t>
  </si>
  <si>
    <t>Cùm treo ống D25</t>
  </si>
  <si>
    <t>Cùm treo ống D20</t>
  </si>
  <si>
    <t>Ty treo D10</t>
  </si>
  <si>
    <t>Ty treo D8</t>
  </si>
  <si>
    <t>Tắc kê D10</t>
  </si>
  <si>
    <t>Tắc kê D8</t>
  </si>
  <si>
    <t>Keo dán</t>
  </si>
  <si>
    <t>Kg</t>
  </si>
  <si>
    <t>Keo lụa</t>
  </si>
  <si>
    <t>Cuộn</t>
  </si>
  <si>
    <t>Khăn lau</t>
  </si>
  <si>
    <t xml:space="preserve">Giấy nhám </t>
  </si>
  <si>
    <t>P150</t>
  </si>
  <si>
    <t>Tờ</t>
  </si>
  <si>
    <t>B2. Thoát nước</t>
  </si>
  <si>
    <t>Phểu thu nước kt 400x400</t>
  </si>
  <si>
    <t>Mương thu nước B200</t>
  </si>
  <si>
    <t>Rảnh thu nước B100</t>
  </si>
  <si>
    <t>Ống HDPE D168</t>
  </si>
  <si>
    <t>M</t>
  </si>
  <si>
    <t>Nối PE D168</t>
  </si>
  <si>
    <t>Bít trơn uPVC D168</t>
  </si>
  <si>
    <t>Nối uPVC D168</t>
  </si>
  <si>
    <t>Cầu chắn rác D114</t>
  </si>
  <si>
    <t>Ống uPVC D168 x 4.5</t>
  </si>
  <si>
    <t>Ống uPVC D114x3.5</t>
  </si>
  <si>
    <t>Ống uPVC D90x3.0</t>
  </si>
  <si>
    <t>Ống uPVC D60x2.5</t>
  </si>
  <si>
    <t>Ống uPVC D42x2.1</t>
  </si>
  <si>
    <t>Nối ống uPVC D168</t>
  </si>
  <si>
    <t>Nối ống uPVC D114</t>
  </si>
  <si>
    <t>Nối ống uPVC D90</t>
  </si>
  <si>
    <t>Nối ống uPVC D60</t>
  </si>
  <si>
    <t>Nối ống uPVC D42</t>
  </si>
  <si>
    <t>Chữ Y uPVC D114</t>
  </si>
  <si>
    <t>Chữ Y uPVC D90</t>
  </si>
  <si>
    <t>Chữ Y uPVC D60</t>
  </si>
  <si>
    <t>Chữ Y uPVC D168/114</t>
  </si>
  <si>
    <t>Chữ Y uPVC D168/60</t>
  </si>
  <si>
    <t>Chữ Y uPVC D114/90</t>
  </si>
  <si>
    <t>Chữ Y uPVC D114/60</t>
  </si>
  <si>
    <t>Chữ Y uPVC D90/60</t>
  </si>
  <si>
    <t>Tê Upvc D60</t>
  </si>
  <si>
    <t>Tê cong Upvc D114</t>
  </si>
  <si>
    <t>Tê cong Upvc 90</t>
  </si>
  <si>
    <t>Tê cong Upvc 60</t>
  </si>
  <si>
    <t>Tê cong Upvc D114/60</t>
  </si>
  <si>
    <t>Tê cong Upvc D114/90</t>
  </si>
  <si>
    <t>Tê cong Upvc D90/60</t>
  </si>
  <si>
    <t>Lơi uPVC D168</t>
  </si>
  <si>
    <t>Lơi uPVC D114</t>
  </si>
  <si>
    <t>Lơi uPVC D90</t>
  </si>
  <si>
    <t>Lơi uPVC D60</t>
  </si>
  <si>
    <t>Co uPVC D90</t>
  </si>
  <si>
    <t>Co uPVC D60</t>
  </si>
  <si>
    <t>Co uPVC D42</t>
  </si>
  <si>
    <t>Tê uPVC D90</t>
  </si>
  <si>
    <t>Nối giảm uPVC D168/114</t>
  </si>
  <si>
    <t>Nối giảm uPVC D60/42</t>
  </si>
  <si>
    <t>Thông tắc D168</t>
  </si>
  <si>
    <t>Thông tắc D114</t>
  </si>
  <si>
    <t>Thông tắc D90</t>
  </si>
  <si>
    <t>Thông tắc D60</t>
  </si>
  <si>
    <t>Con thỏ D114</t>
  </si>
  <si>
    <t>Con thỏ D90</t>
  </si>
  <si>
    <t>Con thỏ D60</t>
  </si>
  <si>
    <t>Cùm treo ống D114</t>
  </si>
  <si>
    <t>Cùm treo ống D90</t>
  </si>
  <si>
    <t>Cùm treo ống D60</t>
  </si>
  <si>
    <t>Tổng cộng tiền hàng</t>
  </si>
  <si>
    <t>Thuế GTGT (10%)</t>
  </si>
  <si>
    <t>Tổng tiền thanh toán</t>
  </si>
  <si>
    <t>Nhãn Hiệu</t>
  </si>
  <si>
    <t>Đơn vị</t>
  </si>
  <si>
    <t>Khối lượng</t>
  </si>
  <si>
    <t>Đơn giá</t>
  </si>
  <si>
    <t>Thành tiền</t>
  </si>
  <si>
    <t xml:space="preserve"> - Địa điểm giao hàng/location: Số 53/14 đường số 36, Kp8, Phường Linh Đông, Quận Thủ Đức</t>
  </si>
  <si>
    <t xml:space="preserve"> - Người nhận hàng/ Receiver: Đỗ Danh Nghĩa</t>
  </si>
  <si>
    <t>SDT: 0937376123</t>
  </si>
  <si>
    <t>Tên vật tư</t>
  </si>
  <si>
    <t xml:space="preserve"> - Phương thức thanh toán/ Payment: Thanh toán chuyển khoản tạm ứng 50% trước khi giao hàng.
50% giá trị còn lại thanh toán 7 ngày sau khi giao hàng, hoàn tất hợp đồng và hóa đơn VAT.</t>
  </si>
  <si>
    <t>Nút bít trơn DN20</t>
  </si>
  <si>
    <t>Nút bít trơn DN25</t>
  </si>
  <si>
    <t>Anh Thanh - Cty TNHH Hóa Nhựa Đệ Nhất</t>
  </si>
  <si>
    <t>Giá trên đã bao gốm chi phí vận chuyển đến công trình</t>
  </si>
  <si>
    <t xml:space="preserve"> - Thời gian giao hàng/ Delivery time: Ngày 09/10/2016</t>
  </si>
  <si>
    <t>Công trình-BP/ Project-Department: WRAP&amp;ROLL</t>
  </si>
  <si>
    <t>Ngày/date: 05/10/2016</t>
  </si>
  <si>
    <t xml:space="preserve"> - Phương thức thanh toán/ Payment: </t>
  </si>
  <si>
    <t>- Điện thoại/ Tel:</t>
  </si>
  <si>
    <t>Tổng giá tri/ Total</t>
  </si>
  <si>
    <t>Lê Cát Kiêm Kiều</t>
  </si>
  <si>
    <t>Địa chỉ: Phòng 702A, Tầng 7, Tòa nhà Centrepoint, 106 Nguyễn Văn Trỗi, P.8, Quận Phú Nhuận, Tp.HCM</t>
  </si>
  <si>
    <t>m3</t>
  </si>
  <si>
    <t>CÔNG TY THẾ GIỚI NHÀ</t>
  </si>
  <si>
    <t xml:space="preserve"> - Người nhận hàng/ Receiver: </t>
  </si>
  <si>
    <t>Công trình-BP/ Project-Department: Công trình SCON</t>
  </si>
  <si>
    <t>Ngày/date: 20/09/2017</t>
  </si>
  <si>
    <t xml:space="preserve"> - Địa điểm giao hàng/location:  KCN Vsip 2 mở rộng, bình dương</t>
  </si>
  <si>
    <t>CK</t>
  </si>
  <si>
    <t>Thập cẩm (3B)</t>
  </si>
  <si>
    <t>Hạt sen (5B)</t>
  </si>
  <si>
    <t>Đậu xanh sầu riêng (B)</t>
  </si>
  <si>
    <t>Dẻo dừa hạt dưa, không trứng (D7)</t>
  </si>
  <si>
    <t>Chiết khấu (5%)</t>
  </si>
  <si>
    <t>CÔNG TY SMC</t>
  </si>
  <si>
    <t>Công trình-BP/ Project-Department: Công trình Luxury</t>
  </si>
  <si>
    <t>CẦN BƠM 40</t>
  </si>
  <si>
    <t>ĐỔ SÀN</t>
  </si>
  <si>
    <t xml:space="preserve"> - Địa điểm giao hàng/location:  Quận 2, Tp.HCM</t>
  </si>
  <si>
    <t>MR.Cường</t>
  </si>
  <si>
    <t>0918552215</t>
  </si>
  <si>
    <t>Betong Mac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</si>
</sst>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1"/>
      <name val="Calibri"/>
      <family val="2"/>
      <charset val="163"/>
      <scheme val="minor"/>
    </font>
    <font>
      <b/>
      <sz val="18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  <font>
      <b/>
      <i/>
      <sz val="11"/>
      <color theme="1"/>
      <name val="Calibri"/>
      <family val="2"/>
      <charset val="163"/>
      <scheme val="minor"/>
    </font>
    <font>
      <i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Times New Roman"/>
      <family val="1"/>
    </font>
    <font>
      <b/>
      <sz val="11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FF0000"/>
      <name val="Times New Roman"/>
      <family val="1"/>
    </font>
    <font>
      <sz val="11"/>
      <color rgb="FFC00000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6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2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9" fillId="0" borderId="7" xfId="0" applyFont="1" applyBorder="1"/>
    <xf numFmtId="0" fontId="9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" fillId="0" borderId="0" xfId="0" applyFont="1"/>
    <xf numFmtId="0" fontId="1" fillId="0" borderId="22" xfId="0" applyFont="1" applyBorder="1" applyAlignment="1"/>
    <xf numFmtId="0" fontId="1" fillId="0" borderId="0" xfId="0" applyFont="1" applyBorder="1" applyAlignment="1"/>
    <xf numFmtId="0" fontId="1" fillId="0" borderId="0" xfId="0" applyFont="1" applyBorder="1"/>
    <xf numFmtId="0" fontId="1" fillId="0" borderId="23" xfId="0" applyFont="1" applyBorder="1"/>
    <xf numFmtId="0" fontId="1" fillId="0" borderId="0" xfId="0" applyFont="1" applyAlignment="1">
      <alignment wrapText="1"/>
    </xf>
    <xf numFmtId="0" fontId="1" fillId="0" borderId="26" xfId="0" applyFont="1" applyBorder="1"/>
    <xf numFmtId="0" fontId="8" fillId="0" borderId="0" xfId="0" applyFont="1" applyAlignment="1"/>
    <xf numFmtId="0" fontId="1" fillId="0" borderId="0" xfId="0" applyFont="1" applyAlignment="1"/>
    <xf numFmtId="0" fontId="10" fillId="0" borderId="19" xfId="0" applyFont="1" applyBorder="1"/>
    <xf numFmtId="0" fontId="8" fillId="0" borderId="20" xfId="0" applyFont="1" applyBorder="1" applyAlignment="1"/>
    <xf numFmtId="0" fontId="1" fillId="0" borderId="20" xfId="0" applyFont="1" applyBorder="1" applyAlignment="1"/>
    <xf numFmtId="0" fontId="1" fillId="0" borderId="21" xfId="0" applyFont="1" applyBorder="1"/>
    <xf numFmtId="0" fontId="1" fillId="0" borderId="22" xfId="0" applyFont="1" applyBorder="1"/>
    <xf numFmtId="0" fontId="8" fillId="0" borderId="0" xfId="0" applyFont="1" applyBorder="1" applyAlignment="1"/>
    <xf numFmtId="0" fontId="1" fillId="0" borderId="25" xfId="0" applyFont="1" applyBorder="1" applyAlignment="1"/>
    <xf numFmtId="0" fontId="1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/>
    <xf numFmtId="0" fontId="1" fillId="0" borderId="0" xfId="0" applyFont="1" applyBorder="1" applyAlignment="1">
      <alignment horizontal="left" vertical="center" wrapText="1"/>
    </xf>
    <xf numFmtId="0" fontId="1" fillId="0" borderId="2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27" xfId="3" applyFont="1" applyFill="1" applyBorder="1" applyAlignment="1">
      <alignment horizontal="center" vertical="center" wrapText="1"/>
    </xf>
    <xf numFmtId="0" fontId="15" fillId="0" borderId="28" xfId="0" applyFont="1" applyBorder="1" applyAlignment="1">
      <alignment vertical="center" wrapText="1"/>
    </xf>
    <xf numFmtId="0" fontId="17" fillId="0" borderId="30" xfId="0" applyFont="1" applyBorder="1" applyAlignment="1">
      <alignment vertical="center" wrapText="1"/>
    </xf>
    <xf numFmtId="0" fontId="18" fillId="0" borderId="30" xfId="3" applyFont="1" applyFill="1" applyBorder="1"/>
    <xf numFmtId="0" fontId="17" fillId="2" borderId="30" xfId="0" applyFont="1" applyFill="1" applyBorder="1" applyAlignment="1">
      <alignment horizontal="center" wrapText="1"/>
    </xf>
    <xf numFmtId="0" fontId="16" fillId="0" borderId="30" xfId="3" applyFont="1" applyFill="1" applyBorder="1"/>
    <xf numFmtId="0" fontId="17" fillId="0" borderId="30" xfId="0" applyFont="1" applyBorder="1" applyAlignment="1">
      <alignment horizontal="center" wrapText="1"/>
    </xf>
    <xf numFmtId="164" fontId="17" fillId="0" borderId="30" xfId="5" applyNumberFormat="1" applyFont="1" applyBorder="1" applyAlignment="1">
      <alignment wrapText="1"/>
    </xf>
    <xf numFmtId="164" fontId="14" fillId="0" borderId="30" xfId="3" applyNumberFormat="1" applyFont="1" applyFill="1" applyBorder="1" applyAlignment="1">
      <alignment horizontal="left" vertical="center" wrapText="1"/>
    </xf>
    <xf numFmtId="164" fontId="14" fillId="0" borderId="30" xfId="4" applyNumberFormat="1" applyFont="1" applyFill="1" applyBorder="1" applyAlignment="1">
      <alignment horizontal="left" vertical="center" wrapText="1"/>
    </xf>
    <xf numFmtId="164" fontId="14" fillId="0" borderId="30" xfId="1" applyNumberFormat="1" applyFont="1" applyFill="1" applyBorder="1" applyAlignment="1">
      <alignment horizontal="center" vertical="center" wrapText="1"/>
    </xf>
    <xf numFmtId="164" fontId="14" fillId="0" borderId="31" xfId="1" applyNumberFormat="1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vertical="center" wrapText="1"/>
    </xf>
    <xf numFmtId="164" fontId="17" fillId="0" borderId="4" xfId="5" applyNumberFormat="1" applyFont="1" applyBorder="1" applyAlignment="1">
      <alignment wrapText="1"/>
    </xf>
    <xf numFmtId="164" fontId="17" fillId="0" borderId="32" xfId="5" applyNumberFormat="1" applyFont="1" applyBorder="1" applyAlignment="1">
      <alignment wrapText="1"/>
    </xf>
    <xf numFmtId="0" fontId="17" fillId="2" borderId="30" xfId="0" applyFont="1" applyFill="1" applyBorder="1" applyAlignment="1">
      <alignment vertical="center" wrapText="1"/>
    </xf>
    <xf numFmtId="0" fontId="19" fillId="2" borderId="30" xfId="0" applyFont="1" applyFill="1" applyBorder="1" applyAlignment="1">
      <alignment vertical="center" wrapText="1"/>
    </xf>
    <xf numFmtId="0" fontId="14" fillId="0" borderId="33" xfId="3" applyFont="1" applyFill="1" applyBorder="1" applyAlignment="1">
      <alignment horizontal="center" vertical="center" wrapText="1"/>
    </xf>
    <xf numFmtId="0" fontId="15" fillId="0" borderId="30" xfId="0" applyFont="1" applyBorder="1" applyAlignment="1">
      <alignment vertical="center" wrapText="1"/>
    </xf>
    <xf numFmtId="0" fontId="14" fillId="0" borderId="30" xfId="3" applyFont="1" applyFill="1" applyBorder="1" applyAlignment="1">
      <alignment horizontal="center" vertical="center" wrapText="1"/>
    </xf>
    <xf numFmtId="165" fontId="15" fillId="0" borderId="30" xfId="0" applyNumberFormat="1" applyFont="1" applyBorder="1" applyAlignment="1">
      <alignment wrapText="1"/>
    </xf>
    <xf numFmtId="164" fontId="18" fillId="0" borderId="30" xfId="3" applyNumberFormat="1" applyFont="1" applyFill="1" applyBorder="1" applyAlignment="1">
      <alignment horizontal="left" vertical="center" wrapText="1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center" wrapText="1"/>
    </xf>
    <xf numFmtId="164" fontId="20" fillId="0" borderId="30" xfId="5" applyNumberFormat="1" applyFont="1" applyBorder="1" applyAlignment="1">
      <alignment wrapText="1"/>
    </xf>
    <xf numFmtId="0" fontId="14" fillId="3" borderId="33" xfId="3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vertical="center" wrapText="1"/>
    </xf>
    <xf numFmtId="0" fontId="18" fillId="3" borderId="30" xfId="3" applyFont="1" applyFill="1" applyBorder="1"/>
    <xf numFmtId="0" fontId="16" fillId="3" borderId="30" xfId="3" applyFont="1" applyFill="1" applyBorder="1"/>
    <xf numFmtId="0" fontId="17" fillId="3" borderId="30" xfId="0" applyFont="1" applyFill="1" applyBorder="1" applyAlignment="1">
      <alignment horizontal="center" wrapText="1"/>
    </xf>
    <xf numFmtId="164" fontId="17" fillId="3" borderId="30" xfId="5" applyNumberFormat="1" applyFont="1" applyFill="1" applyBorder="1" applyAlignment="1">
      <alignment wrapText="1"/>
    </xf>
    <xf numFmtId="164" fontId="14" fillId="3" borderId="30" xfId="3" applyNumberFormat="1" applyFont="1" applyFill="1" applyBorder="1" applyAlignment="1">
      <alignment horizontal="left" vertical="center" wrapText="1"/>
    </xf>
    <xf numFmtId="164" fontId="14" fillId="3" borderId="30" xfId="4" applyNumberFormat="1" applyFont="1" applyFill="1" applyBorder="1" applyAlignment="1">
      <alignment horizontal="left" vertical="center" wrapText="1"/>
    </xf>
    <xf numFmtId="164" fontId="14" fillId="3" borderId="30" xfId="1" applyNumberFormat="1" applyFont="1" applyFill="1" applyBorder="1" applyAlignment="1">
      <alignment horizontal="center" vertical="center" wrapText="1"/>
    </xf>
    <xf numFmtId="1" fontId="14" fillId="0" borderId="30" xfId="4" applyNumberFormat="1" applyFont="1" applyFill="1" applyBorder="1" applyAlignment="1">
      <alignment horizontal="center" vertical="center" wrapText="1"/>
    </xf>
    <xf numFmtId="1" fontId="14" fillId="0" borderId="31" xfId="2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0" xfId="0" applyFont="1" applyBorder="1" applyAlignment="1">
      <alignment vertical="center" wrapText="1"/>
    </xf>
    <xf numFmtId="0" fontId="1" fillId="0" borderId="34" xfId="0" applyFont="1" applyBorder="1"/>
    <xf numFmtId="0" fontId="1" fillId="0" borderId="35" xfId="0" applyFont="1" applyBorder="1"/>
    <xf numFmtId="0" fontId="1" fillId="0" borderId="16" xfId="0" applyFont="1" applyBorder="1"/>
    <xf numFmtId="0" fontId="10" fillId="0" borderId="11" xfId="0" applyFont="1" applyBorder="1"/>
    <xf numFmtId="0" fontId="8" fillId="0" borderId="17" xfId="0" applyFont="1" applyBorder="1" applyAlignment="1"/>
    <xf numFmtId="0" fontId="1" fillId="0" borderId="17" xfId="0" applyFont="1" applyBorder="1" applyAlignment="1"/>
    <xf numFmtId="0" fontId="1" fillId="0" borderId="36" xfId="0" applyFont="1" applyBorder="1"/>
    <xf numFmtId="0" fontId="1" fillId="0" borderId="17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34" xfId="0" applyFont="1" applyBorder="1" applyAlignment="1"/>
    <xf numFmtId="0" fontId="23" fillId="0" borderId="28" xfId="3" applyFont="1" applyFill="1" applyBorder="1"/>
    <xf numFmtId="0" fontId="21" fillId="0" borderId="28" xfId="3" applyFont="1" applyFill="1" applyBorder="1" applyAlignment="1">
      <alignment horizontal="center" vertical="center" wrapText="1"/>
    </xf>
    <xf numFmtId="164" fontId="21" fillId="0" borderId="28" xfId="3" applyNumberFormat="1" applyFont="1" applyFill="1" applyBorder="1" applyAlignment="1">
      <alignment horizontal="center" vertical="center" wrapText="1"/>
    </xf>
    <xf numFmtId="164" fontId="21" fillId="0" borderId="28" xfId="3" applyNumberFormat="1" applyFont="1" applyFill="1" applyBorder="1" applyAlignment="1">
      <alignment horizontal="left" vertical="center" wrapText="1"/>
    </xf>
    <xf numFmtId="164" fontId="21" fillId="0" borderId="28" xfId="4" applyNumberFormat="1" applyFont="1" applyFill="1" applyBorder="1" applyAlignment="1">
      <alignment horizontal="left" vertical="center" wrapText="1"/>
    </xf>
    <xf numFmtId="15" fontId="21" fillId="0" borderId="28" xfId="4" applyNumberFormat="1" applyFont="1" applyFill="1" applyBorder="1" applyAlignment="1">
      <alignment horizontal="center" vertical="center" wrapText="1"/>
    </xf>
    <xf numFmtId="9" fontId="21" fillId="0" borderId="29" xfId="2" applyFont="1" applyFill="1" applyBorder="1" applyAlignment="1">
      <alignment horizontal="center" vertical="center" wrapText="1"/>
    </xf>
    <xf numFmtId="0" fontId="22" fillId="0" borderId="28" xfId="3" applyFont="1" applyFill="1" applyBorder="1" applyAlignment="1">
      <alignment vertical="center"/>
    </xf>
    <xf numFmtId="0" fontId="14" fillId="0" borderId="37" xfId="3" applyFont="1" applyFill="1" applyBorder="1" applyAlignment="1">
      <alignment horizontal="center" vertical="center" wrapText="1"/>
    </xf>
    <xf numFmtId="0" fontId="17" fillId="0" borderId="38" xfId="0" applyFont="1" applyBorder="1" applyAlignment="1">
      <alignment vertical="center" wrapText="1"/>
    </xf>
    <xf numFmtId="0" fontId="18" fillId="0" borderId="38" xfId="3" applyFont="1" applyFill="1" applyBorder="1"/>
    <xf numFmtId="0" fontId="17" fillId="2" borderId="38" xfId="0" applyFont="1" applyFill="1" applyBorder="1" applyAlignment="1">
      <alignment horizontal="center" wrapText="1"/>
    </xf>
    <xf numFmtId="0" fontId="16" fillId="0" borderId="38" xfId="3" applyFont="1" applyFill="1" applyBorder="1"/>
    <xf numFmtId="0" fontId="17" fillId="0" borderId="38" xfId="0" applyFont="1" applyBorder="1" applyAlignment="1">
      <alignment horizontal="center" wrapText="1"/>
    </xf>
    <xf numFmtId="164" fontId="17" fillId="0" borderId="38" xfId="5" applyNumberFormat="1" applyFont="1" applyBorder="1" applyAlignment="1">
      <alignment wrapText="1"/>
    </xf>
    <xf numFmtId="164" fontId="14" fillId="0" borderId="38" xfId="3" applyNumberFormat="1" applyFont="1" applyFill="1" applyBorder="1" applyAlignment="1">
      <alignment horizontal="left" vertical="center" wrapText="1"/>
    </xf>
    <xf numFmtId="164" fontId="14" fillId="0" borderId="38" xfId="4" applyNumberFormat="1" applyFont="1" applyFill="1" applyBorder="1" applyAlignment="1">
      <alignment horizontal="left" vertical="center" wrapText="1"/>
    </xf>
    <xf numFmtId="1" fontId="14" fillId="0" borderId="38" xfId="4" applyNumberFormat="1" applyFont="1" applyFill="1" applyBorder="1" applyAlignment="1">
      <alignment horizontal="center" vertical="center" wrapText="1"/>
    </xf>
    <xf numFmtId="1" fontId="14" fillId="0" borderId="39" xfId="2" applyNumberFormat="1" applyFont="1" applyFill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 wrapText="1"/>
    </xf>
    <xf numFmtId="164" fontId="9" fillId="0" borderId="4" xfId="1" applyNumberFormat="1" applyFont="1" applyBorder="1"/>
    <xf numFmtId="164" fontId="8" fillId="0" borderId="1" xfId="0" applyNumberFormat="1" applyFont="1" applyBorder="1" applyAlignment="1">
      <alignment horizontal="center"/>
    </xf>
    <xf numFmtId="164" fontId="8" fillId="0" borderId="18" xfId="0" applyNumberFormat="1" applyFont="1" applyBorder="1" applyAlignment="1">
      <alignment horizontal="center"/>
    </xf>
    <xf numFmtId="164" fontId="8" fillId="0" borderId="1" xfId="1" applyNumberFormat="1" applyFont="1" applyBorder="1" applyAlignment="1"/>
    <xf numFmtId="0" fontId="1" fillId="0" borderId="23" xfId="0" quotePrefix="1" applyFont="1" applyBorder="1" applyAlignment="1">
      <alignment vertical="center" wrapText="1"/>
    </xf>
    <xf numFmtId="0" fontId="24" fillId="0" borderId="4" xfId="0" applyFont="1" applyBorder="1" applyAlignment="1">
      <alignment horizontal="right"/>
    </xf>
    <xf numFmtId="0" fontId="24" fillId="0" borderId="6" xfId="0" applyFont="1" applyBorder="1" applyAlignment="1">
      <alignment horizontal="center"/>
    </xf>
    <xf numFmtId="164" fontId="9" fillId="0" borderId="4" xfId="1" applyNumberFormat="1" applyFont="1" applyBorder="1" applyAlignment="1">
      <alignment horizontal="center"/>
    </xf>
    <xf numFmtId="164" fontId="9" fillId="0" borderId="7" xfId="1" applyNumberFormat="1" applyFont="1" applyBorder="1"/>
    <xf numFmtId="0" fontId="3" fillId="0" borderId="4" xfId="0" applyFont="1" applyBorder="1" applyAlignment="1">
      <alignment horizontal="center"/>
    </xf>
    <xf numFmtId="0" fontId="3" fillId="0" borderId="3" xfId="0" applyFont="1" applyBorder="1" applyAlignment="1"/>
    <xf numFmtId="14" fontId="3" fillId="0" borderId="4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40" xfId="0" applyFont="1" applyBorder="1" applyAlignment="1">
      <alignment wrapText="1"/>
    </xf>
    <xf numFmtId="164" fontId="9" fillId="0" borderId="0" xfId="1" applyNumberFormat="1" applyFont="1"/>
    <xf numFmtId="164" fontId="8" fillId="0" borderId="0" xfId="1" applyNumberFormat="1" applyFont="1"/>
    <xf numFmtId="0" fontId="1" fillId="0" borderId="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left" wrapText="1"/>
    </xf>
    <xf numFmtId="0" fontId="1" fillId="0" borderId="0" xfId="0" quotePrefix="1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wrapText="1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14" fontId="1" fillId="0" borderId="23" xfId="0" applyNumberFormat="1" applyFont="1" applyBorder="1" applyAlignment="1">
      <alignment horizontal="center"/>
    </xf>
    <xf numFmtId="0" fontId="1" fillId="0" borderId="2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quotePrefix="1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4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10" fillId="0" borderId="19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5" fillId="0" borderId="2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9" fillId="0" borderId="11" xfId="1" applyNumberFormat="1" applyFont="1" applyBorder="1" applyAlignment="1">
      <alignment horizontal="center" vertical="center" wrapText="1"/>
    </xf>
    <xf numFmtId="164" fontId="9" fillId="0" borderId="12" xfId="1" applyNumberFormat="1" applyFont="1" applyBorder="1" applyAlignment="1">
      <alignment horizontal="center" vertical="center" wrapText="1"/>
    </xf>
    <xf numFmtId="164" fontId="9" fillId="0" borderId="41" xfId="1" applyNumberFormat="1" applyFont="1" applyBorder="1" applyAlignment="1">
      <alignment horizontal="center" vertical="center" wrapText="1"/>
    </xf>
    <xf numFmtId="164" fontId="9" fillId="0" borderId="42" xfId="1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wrapText="1"/>
    </xf>
    <xf numFmtId="0" fontId="11" fillId="0" borderId="0" xfId="0" applyFont="1" applyBorder="1" applyAlignment="1">
      <alignment horizontal="left" wrapText="1"/>
    </xf>
    <xf numFmtId="0" fontId="1" fillId="0" borderId="15" xfId="0" quotePrefix="1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/>
    </xf>
    <xf numFmtId="0" fontId="21" fillId="0" borderId="1" xfId="3" applyFont="1" applyFill="1" applyBorder="1" applyAlignment="1">
      <alignment horizontal="center" vertical="center" wrapText="1"/>
    </xf>
    <xf numFmtId="0" fontId="22" fillId="0" borderId="2" xfId="3" applyNumberFormat="1" applyFont="1" applyBorder="1" applyAlignment="1">
      <alignment horizontal="left" vertical="center"/>
    </xf>
    <xf numFmtId="0" fontId="22" fillId="0" borderId="10" xfId="3" applyNumberFormat="1" applyFont="1" applyBorder="1" applyAlignment="1">
      <alignment horizontal="left" vertical="center"/>
    </xf>
    <xf numFmtId="0" fontId="22" fillId="0" borderId="3" xfId="3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43" fontId="3" fillId="0" borderId="0" xfId="1" applyFont="1"/>
  </cellXfs>
  <cellStyles count="6">
    <cellStyle name="Comma" xfId="1" builtinId="3"/>
    <cellStyle name="Comma 2 2" xfId="5"/>
    <cellStyle name="Comma 6" xfId="4"/>
    <cellStyle name="Normal" xfId="0" builtinId="0"/>
    <cellStyle name="Normal 3" xfId="3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0</xdr:row>
      <xdr:rowOff>142874</xdr:rowOff>
    </xdr:from>
    <xdr:to>
      <xdr:col>2</xdr:col>
      <xdr:colOff>1276350</xdr:colOff>
      <xdr:row>3</xdr:row>
      <xdr:rowOff>152400</xdr:rowOff>
    </xdr:to>
    <xdr:pic>
      <xdr:nvPicPr>
        <xdr:cNvPr id="3" name="Picture 2" descr="logo nico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42874"/>
          <a:ext cx="1447800" cy="685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95250</xdr:rowOff>
    </xdr:from>
    <xdr:to>
      <xdr:col>2</xdr:col>
      <xdr:colOff>1152525</xdr:colOff>
      <xdr:row>3</xdr:row>
      <xdr:rowOff>209550</xdr:rowOff>
    </xdr:to>
    <xdr:pic>
      <xdr:nvPicPr>
        <xdr:cNvPr id="2" name="Picture 1" descr="logo nico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95250"/>
          <a:ext cx="14097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0</xdr:row>
      <xdr:rowOff>142874</xdr:rowOff>
    </xdr:from>
    <xdr:to>
      <xdr:col>2</xdr:col>
      <xdr:colOff>1276350</xdr:colOff>
      <xdr:row>3</xdr:row>
      <xdr:rowOff>152400</xdr:rowOff>
    </xdr:to>
    <xdr:pic>
      <xdr:nvPicPr>
        <xdr:cNvPr id="2" name="Picture 1" descr="logo nico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42874"/>
          <a:ext cx="1333500" cy="685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2"/>
  <sheetViews>
    <sheetView tabSelected="1" topLeftCell="A29" workbookViewId="0">
      <selection activeCell="J42" sqref="J42"/>
    </sheetView>
  </sheetViews>
  <sheetFormatPr defaultColWidth="9.140625" defaultRowHeight="15.75" x14ac:dyDescent="0.25"/>
  <cols>
    <col min="1" max="1" width="1" style="1" customWidth="1"/>
    <col min="2" max="2" width="5" style="1" customWidth="1"/>
    <col min="3" max="3" width="18.140625" style="1" customWidth="1"/>
    <col min="4" max="4" width="12.42578125" style="1" customWidth="1"/>
    <col min="5" max="5" width="10.7109375" style="1" customWidth="1"/>
    <col min="6" max="6" width="12" style="1" customWidth="1"/>
    <col min="7" max="7" width="13.28515625" style="1" customWidth="1"/>
    <col min="8" max="8" width="18.42578125" style="2" customWidth="1"/>
    <col min="9" max="9" width="9.140625" style="1"/>
    <col min="10" max="10" width="15.7109375" style="1" bestFit="1" customWidth="1"/>
    <col min="11" max="11" width="9.140625" style="1"/>
    <col min="12" max="12" width="14.5703125" style="1" bestFit="1" customWidth="1"/>
    <col min="13" max="16384" width="9.140625" style="1"/>
  </cols>
  <sheetData>
    <row r="1" spans="2:10" s="3" customFormat="1" ht="18.75" customHeight="1" x14ac:dyDescent="0.25">
      <c r="B1" s="169"/>
      <c r="C1" s="170"/>
      <c r="D1" s="175" t="s">
        <v>173</v>
      </c>
      <c r="E1" s="176"/>
      <c r="F1" s="176"/>
      <c r="G1" s="176"/>
      <c r="H1" s="177"/>
    </row>
    <row r="2" spans="2:10" s="3" customFormat="1" ht="17.25" customHeight="1" x14ac:dyDescent="0.25">
      <c r="B2" s="171"/>
      <c r="C2" s="172"/>
      <c r="D2" s="178" t="s">
        <v>164</v>
      </c>
      <c r="E2" s="179"/>
      <c r="F2" s="179"/>
      <c r="G2" s="179"/>
      <c r="H2" s="180"/>
    </row>
    <row r="3" spans="2:10" s="3" customFormat="1" ht="17.25" customHeight="1" x14ac:dyDescent="0.25">
      <c r="B3" s="171"/>
      <c r="C3" s="172"/>
      <c r="D3" s="178" t="s">
        <v>3</v>
      </c>
      <c r="E3" s="179"/>
      <c r="F3" s="179"/>
      <c r="G3" s="179"/>
      <c r="H3" s="180"/>
    </row>
    <row r="4" spans="2:10" s="3" customFormat="1" ht="24.75" customHeight="1" x14ac:dyDescent="0.35">
      <c r="B4" s="173"/>
      <c r="C4" s="174"/>
      <c r="D4" s="166" t="s">
        <v>10</v>
      </c>
      <c r="E4" s="167"/>
      <c r="F4" s="167"/>
      <c r="G4" s="167"/>
      <c r="H4" s="168"/>
    </row>
    <row r="5" spans="2:10" s="13" customFormat="1" ht="18" customHeight="1" x14ac:dyDescent="0.25">
      <c r="B5" s="183" t="s">
        <v>12</v>
      </c>
      <c r="C5" s="183"/>
      <c r="D5" s="184" t="s">
        <v>172</v>
      </c>
      <c r="E5" s="184"/>
      <c r="F5" s="184"/>
      <c r="G5" s="184"/>
      <c r="H5" s="184"/>
    </row>
    <row r="6" spans="2:10" s="7" customFormat="1" ht="27" customHeight="1" x14ac:dyDescent="0.25">
      <c r="B6" s="187" t="s">
        <v>16</v>
      </c>
      <c r="C6" s="187"/>
      <c r="D6" s="187"/>
      <c r="E6" s="187"/>
      <c r="F6" s="187"/>
      <c r="G6" s="187"/>
      <c r="H6" s="187"/>
    </row>
    <row r="7" spans="2:10" s="30" customFormat="1" ht="34.5" customHeight="1" x14ac:dyDescent="0.25">
      <c r="B7" s="37" t="s">
        <v>11</v>
      </c>
      <c r="C7" s="185" t="s">
        <v>4</v>
      </c>
      <c r="D7" s="186"/>
      <c r="E7" s="38" t="s">
        <v>9</v>
      </c>
      <c r="F7" s="37" t="s">
        <v>5</v>
      </c>
      <c r="G7" s="37" t="s">
        <v>7</v>
      </c>
      <c r="H7" s="37" t="s">
        <v>8</v>
      </c>
    </row>
    <row r="8" spans="2:10" s="7" customFormat="1" ht="39.75" customHeight="1" x14ac:dyDescent="0.25">
      <c r="B8" s="120">
        <v>1</v>
      </c>
      <c r="C8" s="181" t="s">
        <v>179</v>
      </c>
      <c r="D8" s="182"/>
      <c r="E8" s="142" t="s">
        <v>160</v>
      </c>
      <c r="F8" s="142">
        <v>28</v>
      </c>
      <c r="G8" s="188" t="s">
        <v>175</v>
      </c>
      <c r="H8" s="189"/>
      <c r="J8" s="129"/>
    </row>
    <row r="9" spans="2:10" s="7" customFormat="1" ht="37.5" customHeight="1" x14ac:dyDescent="0.25">
      <c r="B9" s="9"/>
      <c r="C9" s="181" t="s">
        <v>174</v>
      </c>
      <c r="D9" s="182"/>
      <c r="E9" s="143"/>
      <c r="F9" s="143"/>
      <c r="G9" s="190"/>
      <c r="H9" s="191"/>
      <c r="J9" s="129"/>
    </row>
    <row r="10" spans="2:10" s="7" customFormat="1" ht="27.75" hidden="1" customHeight="1" x14ac:dyDescent="0.25">
      <c r="B10" s="9">
        <v>3</v>
      </c>
      <c r="C10" s="127"/>
      <c r="D10" s="128"/>
      <c r="E10" s="124"/>
      <c r="F10" s="8"/>
      <c r="G10" s="122"/>
      <c r="H10" s="115"/>
      <c r="J10" s="129"/>
    </row>
    <row r="11" spans="2:10" s="7" customFormat="1" hidden="1" x14ac:dyDescent="0.25">
      <c r="B11" s="9">
        <v>4</v>
      </c>
      <c r="C11" s="126"/>
      <c r="D11" s="125"/>
      <c r="E11" s="121"/>
      <c r="F11" s="8"/>
      <c r="G11" s="122"/>
      <c r="H11" s="115"/>
      <c r="J11" s="129"/>
    </row>
    <row r="12" spans="2:10" s="7" customFormat="1" hidden="1" x14ac:dyDescent="0.25">
      <c r="B12" s="9"/>
      <c r="C12" s="144"/>
      <c r="D12" s="145"/>
      <c r="E12" s="121"/>
      <c r="F12" s="8"/>
      <c r="G12" s="122"/>
      <c r="H12" s="115"/>
      <c r="J12" s="129"/>
    </row>
    <row r="13" spans="2:10" s="7" customFormat="1" hidden="1" x14ac:dyDescent="0.25">
      <c r="B13" s="9"/>
      <c r="C13" s="144"/>
      <c r="D13" s="145"/>
      <c r="E13" s="121"/>
      <c r="F13" s="8"/>
      <c r="G13" s="122"/>
      <c r="H13" s="115"/>
      <c r="J13" s="129"/>
    </row>
    <row r="14" spans="2:10" s="7" customFormat="1" hidden="1" x14ac:dyDescent="0.25">
      <c r="B14" s="9"/>
      <c r="C14" s="144"/>
      <c r="D14" s="145"/>
      <c r="E14" s="121"/>
      <c r="F14" s="8"/>
      <c r="G14" s="122"/>
      <c r="H14" s="115"/>
      <c r="J14" s="129"/>
    </row>
    <row r="15" spans="2:10" s="7" customFormat="1" hidden="1" x14ac:dyDescent="0.25">
      <c r="B15" s="9"/>
      <c r="C15" s="144"/>
      <c r="D15" s="145"/>
      <c r="E15" s="121"/>
      <c r="F15" s="8"/>
      <c r="G15" s="122"/>
      <c r="H15" s="115"/>
      <c r="J15" s="129"/>
    </row>
    <row r="16" spans="2:10" s="7" customFormat="1" hidden="1" x14ac:dyDescent="0.25">
      <c r="B16" s="9"/>
      <c r="C16" s="144"/>
      <c r="D16" s="145"/>
      <c r="E16" s="121"/>
      <c r="F16" s="8"/>
      <c r="G16" s="122"/>
      <c r="H16" s="115"/>
      <c r="J16" s="129"/>
    </row>
    <row r="17" spans="2:10" s="7" customFormat="1" hidden="1" x14ac:dyDescent="0.25">
      <c r="B17" s="9"/>
      <c r="C17" s="144"/>
      <c r="D17" s="145"/>
      <c r="E17" s="121"/>
      <c r="F17" s="8"/>
      <c r="G17" s="122"/>
      <c r="H17" s="115"/>
      <c r="J17" s="129"/>
    </row>
    <row r="18" spans="2:10" s="7" customFormat="1" hidden="1" x14ac:dyDescent="0.25">
      <c r="B18" s="9"/>
      <c r="C18" s="144"/>
      <c r="D18" s="145"/>
      <c r="E18" s="121"/>
      <c r="F18" s="8"/>
      <c r="G18" s="122"/>
      <c r="H18" s="115"/>
      <c r="J18" s="129"/>
    </row>
    <row r="19" spans="2:10" s="7" customFormat="1" hidden="1" x14ac:dyDescent="0.25">
      <c r="B19" s="9"/>
      <c r="C19" s="144"/>
      <c r="D19" s="145"/>
      <c r="E19" s="121"/>
      <c r="F19" s="8"/>
      <c r="G19" s="122"/>
      <c r="H19" s="115"/>
      <c r="J19" s="129"/>
    </row>
    <row r="20" spans="2:10" s="7" customFormat="1" hidden="1" x14ac:dyDescent="0.25">
      <c r="B20" s="9"/>
      <c r="C20" s="144"/>
      <c r="D20" s="145"/>
      <c r="E20" s="121"/>
      <c r="F20" s="8"/>
      <c r="G20" s="122"/>
      <c r="H20" s="115"/>
      <c r="J20" s="129"/>
    </row>
    <row r="21" spans="2:10" s="7" customFormat="1" hidden="1" x14ac:dyDescent="0.25">
      <c r="B21" s="9"/>
      <c r="C21" s="144"/>
      <c r="D21" s="145"/>
      <c r="E21" s="121"/>
      <c r="F21" s="8"/>
      <c r="G21" s="122"/>
      <c r="H21" s="115"/>
      <c r="J21" s="129"/>
    </row>
    <row r="22" spans="2:10" s="7" customFormat="1" hidden="1" x14ac:dyDescent="0.25">
      <c r="B22" s="9"/>
      <c r="C22" s="144"/>
      <c r="D22" s="145"/>
      <c r="E22" s="121"/>
      <c r="F22" s="8"/>
      <c r="G22" s="122"/>
      <c r="H22" s="115"/>
      <c r="J22" s="129"/>
    </row>
    <row r="23" spans="2:10" s="7" customFormat="1" ht="54" hidden="1" customHeight="1" x14ac:dyDescent="0.25">
      <c r="B23" s="9"/>
      <c r="C23" s="192"/>
      <c r="D23" s="145"/>
      <c r="E23" s="121"/>
      <c r="F23" s="8"/>
      <c r="G23" s="122"/>
      <c r="H23" s="115"/>
      <c r="J23" s="129"/>
    </row>
    <row r="24" spans="2:10" s="7" customFormat="1" hidden="1" x14ac:dyDescent="0.25">
      <c r="B24" s="10">
        <v>5</v>
      </c>
      <c r="C24" s="162"/>
      <c r="D24" s="163"/>
      <c r="E24" s="11"/>
      <c r="F24" s="12"/>
      <c r="G24" s="12"/>
      <c r="H24" s="123"/>
      <c r="J24" s="129"/>
    </row>
    <row r="25" spans="2:10" s="30" customFormat="1" ht="18" customHeight="1" x14ac:dyDescent="0.25">
      <c r="B25" s="146" t="s">
        <v>157</v>
      </c>
      <c r="C25" s="147"/>
      <c r="D25" s="147"/>
      <c r="E25" s="147"/>
      <c r="F25" s="147"/>
      <c r="G25" s="147"/>
      <c r="H25" s="116">
        <f>+H8+H9+H10-H11-H24</f>
        <v>0</v>
      </c>
      <c r="J25" s="130"/>
    </row>
    <row r="26" spans="2:10" s="30" customFormat="1" ht="15" hidden="1" x14ac:dyDescent="0.25">
      <c r="B26" s="146" t="s">
        <v>18</v>
      </c>
      <c r="C26" s="147"/>
      <c r="D26" s="147"/>
      <c r="E26" s="147"/>
      <c r="F26" s="147"/>
      <c r="G26" s="147"/>
      <c r="H26" s="118"/>
    </row>
    <row r="27" spans="2:10" s="30" customFormat="1" thickBot="1" x14ac:dyDescent="0.3">
      <c r="B27" s="164" t="s">
        <v>19</v>
      </c>
      <c r="C27" s="165"/>
      <c r="D27" s="165"/>
      <c r="E27" s="165"/>
      <c r="F27" s="165"/>
      <c r="G27" s="165"/>
      <c r="H27" s="117">
        <f>+H25+H26</f>
        <v>0</v>
      </c>
    </row>
    <row r="28" spans="2:10" s="13" customFormat="1" ht="18" customHeight="1" x14ac:dyDescent="0.25">
      <c r="B28" s="157" t="s">
        <v>21</v>
      </c>
      <c r="C28" s="158"/>
      <c r="D28" s="158"/>
      <c r="E28" s="158"/>
      <c r="F28" s="158"/>
      <c r="G28" s="158"/>
      <c r="H28" s="159"/>
    </row>
    <row r="29" spans="2:10" s="13" customFormat="1" ht="15" x14ac:dyDescent="0.25">
      <c r="B29" s="14" t="s">
        <v>2</v>
      </c>
      <c r="C29" s="15"/>
      <c r="D29" s="15"/>
      <c r="E29" s="148"/>
      <c r="F29" s="148"/>
      <c r="G29" s="148"/>
      <c r="H29" s="149"/>
    </row>
    <row r="30" spans="2:10" s="18" customFormat="1" ht="31.5" customHeight="1" x14ac:dyDescent="0.25">
      <c r="B30" s="150" t="s">
        <v>176</v>
      </c>
      <c r="C30" s="151"/>
      <c r="D30" s="151"/>
      <c r="E30" s="151"/>
      <c r="F30" s="151"/>
      <c r="G30" s="151"/>
      <c r="H30" s="152"/>
    </row>
    <row r="31" spans="2:10" s="36" customFormat="1" ht="15.75" customHeight="1" x14ac:dyDescent="0.25">
      <c r="B31" s="39" t="s">
        <v>162</v>
      </c>
      <c r="C31" s="34"/>
      <c r="D31" s="34"/>
      <c r="E31" s="34" t="s">
        <v>177</v>
      </c>
      <c r="F31" s="138" t="s">
        <v>156</v>
      </c>
      <c r="G31" s="138"/>
      <c r="H31" s="119" t="s">
        <v>178</v>
      </c>
    </row>
    <row r="32" spans="2:10" s="13" customFormat="1" ht="33.75" customHeight="1" thickBot="1" x14ac:dyDescent="0.3">
      <c r="B32" s="155" t="s">
        <v>155</v>
      </c>
      <c r="C32" s="140"/>
      <c r="D32" s="140"/>
      <c r="E32" s="139" t="s">
        <v>166</v>
      </c>
      <c r="F32" s="140"/>
      <c r="G32" s="140"/>
      <c r="H32" s="141"/>
    </row>
    <row r="33" spans="2:12" s="13" customFormat="1" ht="6.75" customHeight="1" thickBot="1" x14ac:dyDescent="0.3">
      <c r="C33" s="20"/>
      <c r="D33" s="21"/>
      <c r="E33" s="21"/>
      <c r="F33" s="21"/>
      <c r="G33" s="21"/>
    </row>
    <row r="34" spans="2:12" s="13" customFormat="1" ht="18" customHeight="1" x14ac:dyDescent="0.25">
      <c r="B34" s="22" t="s">
        <v>20</v>
      </c>
      <c r="C34" s="23"/>
      <c r="D34" s="24"/>
      <c r="E34" s="24"/>
      <c r="F34" s="24"/>
      <c r="G34" s="24"/>
      <c r="H34" s="25"/>
    </row>
    <row r="35" spans="2:12" s="13" customFormat="1" ht="16.5" customHeight="1" x14ac:dyDescent="0.25">
      <c r="B35" s="26" t="s">
        <v>13</v>
      </c>
      <c r="C35" s="27"/>
      <c r="D35" s="15"/>
      <c r="E35" s="15"/>
      <c r="F35" s="15"/>
      <c r="G35" s="15"/>
      <c r="H35" s="17"/>
    </row>
    <row r="36" spans="2:12" s="13" customFormat="1" ht="18" customHeight="1" x14ac:dyDescent="0.25">
      <c r="B36" s="26" t="s">
        <v>159</v>
      </c>
      <c r="C36" s="27"/>
      <c r="D36" s="15"/>
      <c r="E36" s="15"/>
      <c r="F36" s="15"/>
      <c r="G36" s="15"/>
      <c r="H36" s="17"/>
    </row>
    <row r="37" spans="2:12" s="13" customFormat="1" ht="18" customHeight="1" thickBot="1" x14ac:dyDescent="0.3">
      <c r="B37" s="153" t="s">
        <v>15</v>
      </c>
      <c r="C37" s="140"/>
      <c r="D37" s="28"/>
      <c r="E37" s="28"/>
      <c r="F37" s="28"/>
      <c r="G37" s="28"/>
      <c r="H37" s="19"/>
    </row>
    <row r="38" spans="2:12" s="33" customFormat="1" ht="30.75" customHeight="1" x14ac:dyDescent="0.25">
      <c r="B38" s="137" t="s">
        <v>22</v>
      </c>
      <c r="C38" s="137"/>
      <c r="D38" s="137"/>
      <c r="E38" s="137"/>
      <c r="F38" s="137"/>
      <c r="G38" s="137"/>
      <c r="H38" s="137"/>
      <c r="I38" s="32"/>
    </row>
    <row r="39" spans="2:12" s="13" customFormat="1" ht="15" customHeight="1" x14ac:dyDescent="0.25">
      <c r="B39" s="29"/>
      <c r="C39" s="21"/>
      <c r="D39" s="21"/>
      <c r="F39" s="160" t="s">
        <v>17</v>
      </c>
      <c r="G39" s="160"/>
      <c r="H39" s="160"/>
      <c r="I39" s="21"/>
    </row>
    <row r="40" spans="2:12" s="13" customFormat="1" ht="15" x14ac:dyDescent="0.25">
      <c r="B40" s="29"/>
      <c r="C40" s="30" t="s">
        <v>0</v>
      </c>
      <c r="F40" s="161" t="s">
        <v>1</v>
      </c>
      <c r="G40" s="161"/>
      <c r="H40" s="161"/>
    </row>
    <row r="41" spans="2:12" s="13" customFormat="1" ht="15" x14ac:dyDescent="0.25">
      <c r="B41" s="29"/>
      <c r="C41" s="31" t="s">
        <v>6</v>
      </c>
      <c r="F41" s="154"/>
      <c r="G41" s="154"/>
      <c r="H41" s="154"/>
    </row>
    <row r="42" spans="2:12" s="4" customFormat="1" ht="15" x14ac:dyDescent="0.25">
      <c r="B42" s="5"/>
      <c r="C42" s="6"/>
    </row>
    <row r="43" spans="2:12" s="4" customFormat="1" ht="15" x14ac:dyDescent="0.25">
      <c r="B43" s="5"/>
      <c r="C43" s="6" t="s">
        <v>158</v>
      </c>
    </row>
    <row r="44" spans="2:12" s="4" customFormat="1" ht="15" x14ac:dyDescent="0.25">
      <c r="B44" s="5"/>
      <c r="C44" s="6"/>
      <c r="F44" s="156"/>
      <c r="G44" s="156"/>
      <c r="H44" s="156"/>
    </row>
    <row r="45" spans="2:12" s="4" customFormat="1" ht="15" x14ac:dyDescent="0.25">
      <c r="B45" s="5"/>
      <c r="C45" s="6"/>
    </row>
    <row r="46" spans="2:12" x14ac:dyDescent="0.25">
      <c r="J46" s="1">
        <v>128000</v>
      </c>
      <c r="K46" s="1">
        <v>16</v>
      </c>
      <c r="L46" s="217">
        <f>+J46*K46</f>
        <v>2048000</v>
      </c>
    </row>
    <row r="47" spans="2:12" x14ac:dyDescent="0.25">
      <c r="J47" s="1">
        <v>127000</v>
      </c>
      <c r="K47" s="1">
        <v>16</v>
      </c>
      <c r="L47" s="217">
        <f t="shared" ref="L47:L49" si="0">+J47*K47</f>
        <v>2032000</v>
      </c>
    </row>
    <row r="48" spans="2:12" x14ac:dyDescent="0.25">
      <c r="J48" s="1">
        <v>141000</v>
      </c>
      <c r="K48" s="1">
        <v>16</v>
      </c>
      <c r="L48" s="217">
        <f t="shared" si="0"/>
        <v>2256000</v>
      </c>
    </row>
    <row r="49" spans="10:12" x14ac:dyDescent="0.25">
      <c r="J49" s="1">
        <v>113000</v>
      </c>
      <c r="K49" s="1">
        <v>16</v>
      </c>
      <c r="L49" s="217">
        <f t="shared" si="0"/>
        <v>1808000</v>
      </c>
    </row>
    <row r="50" spans="10:12" x14ac:dyDescent="0.25">
      <c r="L50" s="217">
        <f>+SUM(L46:L49)</f>
        <v>8144000</v>
      </c>
    </row>
    <row r="51" spans="10:12" x14ac:dyDescent="0.25">
      <c r="L51" s="217">
        <f>+L50*0.95</f>
        <v>7736800</v>
      </c>
    </row>
    <row r="52" spans="10:12" x14ac:dyDescent="0.25">
      <c r="L52" s="217">
        <f>+L51/16</f>
        <v>483550</v>
      </c>
    </row>
  </sheetData>
  <mergeCells count="42">
    <mergeCell ref="B5:C5"/>
    <mergeCell ref="D5:H5"/>
    <mergeCell ref="C7:D7"/>
    <mergeCell ref="B6:H6"/>
    <mergeCell ref="C9:D9"/>
    <mergeCell ref="G8:H9"/>
    <mergeCell ref="D4:H4"/>
    <mergeCell ref="B1:C4"/>
    <mergeCell ref="D1:H1"/>
    <mergeCell ref="D2:H2"/>
    <mergeCell ref="D3:H3"/>
    <mergeCell ref="F41:H41"/>
    <mergeCell ref="B32:D32"/>
    <mergeCell ref="F44:H44"/>
    <mergeCell ref="B28:H28"/>
    <mergeCell ref="C13:D13"/>
    <mergeCell ref="C14:D14"/>
    <mergeCell ref="C15:D15"/>
    <mergeCell ref="C16:D16"/>
    <mergeCell ref="C17:D17"/>
    <mergeCell ref="C18:D18"/>
    <mergeCell ref="C19:D19"/>
    <mergeCell ref="C20:D20"/>
    <mergeCell ref="F39:H39"/>
    <mergeCell ref="F40:H40"/>
    <mergeCell ref="B26:G26"/>
    <mergeCell ref="C24:D24"/>
    <mergeCell ref="B38:H38"/>
    <mergeCell ref="F31:G31"/>
    <mergeCell ref="E32:H32"/>
    <mergeCell ref="E8:E9"/>
    <mergeCell ref="F8:F9"/>
    <mergeCell ref="C22:D22"/>
    <mergeCell ref="B25:G25"/>
    <mergeCell ref="E29:H29"/>
    <mergeCell ref="B30:H30"/>
    <mergeCell ref="B37:C37"/>
    <mergeCell ref="B27:G27"/>
    <mergeCell ref="C8:D8"/>
    <mergeCell ref="C23:D23"/>
    <mergeCell ref="C12:D12"/>
    <mergeCell ref="C21:D21"/>
  </mergeCells>
  <pageMargins left="0.511811023622047" right="0" top="0.39370078740157499" bottom="0" header="0.31496062992126" footer="0.31496062992126"/>
  <pageSetup orientation="portrait" r:id="rId1"/>
  <headerFooter>
    <oddFooter>&amp;R&amp;"+,nghiêng"&amp;10&amp;K01+034&amp;F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6"/>
  <sheetViews>
    <sheetView topLeftCell="B16" workbookViewId="0">
      <selection activeCell="J9" sqref="J9"/>
    </sheetView>
  </sheetViews>
  <sheetFormatPr defaultColWidth="9.140625" defaultRowHeight="15.75" x14ac:dyDescent="0.25"/>
  <cols>
    <col min="1" max="1" width="1" style="1" customWidth="1"/>
    <col min="2" max="2" width="3" style="1" customWidth="1"/>
    <col min="3" max="3" width="18.140625" style="1" customWidth="1"/>
    <col min="4" max="4" width="15.7109375" style="1" hidden="1" customWidth="1"/>
    <col min="5" max="5" width="10.7109375" style="1" bestFit="1" customWidth="1"/>
    <col min="6" max="6" width="12" style="1" hidden="1" customWidth="1"/>
    <col min="7" max="7" width="12" style="1" customWidth="1"/>
    <col min="8" max="8" width="15" style="2" hidden="1" customWidth="1"/>
    <col min="9" max="9" width="0" style="1" hidden="1" customWidth="1"/>
    <col min="10" max="10" width="9.140625" style="1"/>
    <col min="11" max="11" width="0" style="1" hidden="1" customWidth="1"/>
    <col min="12" max="12" width="9.140625" style="1"/>
    <col min="13" max="13" width="10.7109375" style="1" bestFit="1" customWidth="1"/>
    <col min="14" max="16384" width="9.140625" style="1"/>
  </cols>
  <sheetData>
    <row r="1" spans="2:13" s="3" customFormat="1" ht="15" customHeight="1" x14ac:dyDescent="0.25">
      <c r="B1" s="212"/>
      <c r="C1" s="212"/>
      <c r="D1" s="213" t="s">
        <v>153</v>
      </c>
      <c r="E1" s="214"/>
      <c r="F1" s="214"/>
      <c r="G1" s="214"/>
      <c r="H1" s="214"/>
      <c r="I1" s="214"/>
      <c r="J1" s="214"/>
      <c r="K1" s="214"/>
      <c r="L1" s="214"/>
      <c r="M1" s="215"/>
    </row>
    <row r="2" spans="2:13" s="3" customFormat="1" ht="15" customHeight="1" x14ac:dyDescent="0.25">
      <c r="B2" s="212"/>
      <c r="C2" s="212"/>
      <c r="D2" s="178" t="s">
        <v>154</v>
      </c>
      <c r="E2" s="179"/>
      <c r="F2" s="179"/>
      <c r="G2" s="179"/>
      <c r="H2" s="179"/>
      <c r="I2" s="179"/>
      <c r="J2" s="179"/>
      <c r="K2" s="179"/>
      <c r="L2" s="179"/>
      <c r="M2" s="180"/>
    </row>
    <row r="3" spans="2:13" s="3" customFormat="1" ht="15" x14ac:dyDescent="0.25">
      <c r="B3" s="212"/>
      <c r="C3" s="212"/>
      <c r="D3" s="178" t="s">
        <v>23</v>
      </c>
      <c r="E3" s="179"/>
      <c r="F3" s="179"/>
      <c r="G3" s="179"/>
      <c r="H3" s="179"/>
      <c r="I3" s="179"/>
      <c r="J3" s="179"/>
      <c r="K3" s="179"/>
      <c r="L3" s="179"/>
      <c r="M3" s="180"/>
    </row>
    <row r="4" spans="2:13" s="3" customFormat="1" ht="23.25" customHeight="1" x14ac:dyDescent="0.35">
      <c r="B4" s="212"/>
      <c r="C4" s="212"/>
      <c r="D4" s="216" t="s">
        <v>10</v>
      </c>
      <c r="E4" s="216"/>
      <c r="F4" s="216"/>
      <c r="G4" s="216"/>
      <c r="H4" s="216"/>
      <c r="I4" s="216"/>
      <c r="J4" s="216"/>
      <c r="K4" s="216"/>
      <c r="L4" s="216"/>
      <c r="M4" s="216"/>
    </row>
    <row r="5" spans="2:13" s="13" customFormat="1" ht="15" x14ac:dyDescent="0.25">
      <c r="B5" s="183" t="s">
        <v>12</v>
      </c>
      <c r="C5" s="183"/>
      <c r="D5" s="184" t="s">
        <v>150</v>
      </c>
      <c r="E5" s="184"/>
      <c r="F5" s="184"/>
      <c r="G5" s="184"/>
      <c r="H5" s="184"/>
      <c r="I5" s="184"/>
      <c r="J5" s="184"/>
      <c r="K5" s="184"/>
      <c r="L5" s="184"/>
      <c r="M5" s="184"/>
    </row>
    <row r="6" spans="2:13" s="7" customFormat="1" ht="29.25" customHeight="1" x14ac:dyDescent="0.25">
      <c r="B6" s="209" t="s">
        <v>16</v>
      </c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1"/>
    </row>
    <row r="7" spans="2:13" s="40" customFormat="1" ht="40.5" customHeight="1" x14ac:dyDescent="0.25">
      <c r="B7" s="44"/>
      <c r="C7" s="45" t="s">
        <v>146</v>
      </c>
      <c r="D7" s="95"/>
      <c r="E7" s="102" t="s">
        <v>138</v>
      </c>
      <c r="F7" s="95"/>
      <c r="G7" s="96" t="s">
        <v>139</v>
      </c>
      <c r="H7" s="97"/>
      <c r="I7" s="98"/>
      <c r="J7" s="98" t="s">
        <v>140</v>
      </c>
      <c r="K7" s="99"/>
      <c r="L7" s="100" t="s">
        <v>141</v>
      </c>
      <c r="M7" s="101" t="s">
        <v>142</v>
      </c>
    </row>
    <row r="8" spans="2:13" s="40" customFormat="1" ht="30" x14ac:dyDescent="0.25">
      <c r="B8" s="44">
        <v>1</v>
      </c>
      <c r="C8" s="46" t="s">
        <v>24</v>
      </c>
      <c r="D8" s="47"/>
      <c r="E8" s="48" t="s">
        <v>25</v>
      </c>
      <c r="F8" s="49"/>
      <c r="G8" s="50" t="s">
        <v>26</v>
      </c>
      <c r="H8" s="51"/>
      <c r="I8" s="52"/>
      <c r="J8" s="52">
        <v>48</v>
      </c>
      <c r="K8" s="53"/>
      <c r="L8" s="54">
        <v>48300</v>
      </c>
      <c r="M8" s="55">
        <f>+J8*L8</f>
        <v>2318400</v>
      </c>
    </row>
    <row r="9" spans="2:13" s="40" customFormat="1" ht="30" x14ac:dyDescent="0.25">
      <c r="B9" s="44">
        <v>2</v>
      </c>
      <c r="C9" s="56" t="s">
        <v>27</v>
      </c>
      <c r="D9" s="47"/>
      <c r="E9" s="48" t="s">
        <v>25</v>
      </c>
      <c r="F9" s="49"/>
      <c r="G9" s="50" t="s">
        <v>26</v>
      </c>
      <c r="H9" s="51"/>
      <c r="I9" s="52"/>
      <c r="J9" s="52">
        <v>40</v>
      </c>
      <c r="K9" s="53"/>
      <c r="L9" s="54">
        <v>32950</v>
      </c>
      <c r="M9" s="55">
        <f t="shared" ref="M9:M72" si="0">+J9*L9</f>
        <v>1318000</v>
      </c>
    </row>
    <row r="10" spans="2:13" s="7" customFormat="1" ht="30" x14ac:dyDescent="0.25">
      <c r="B10" s="44">
        <v>3</v>
      </c>
      <c r="C10" s="46" t="s">
        <v>28</v>
      </c>
      <c r="D10" s="47"/>
      <c r="E10" s="48" t="s">
        <v>25</v>
      </c>
      <c r="F10" s="49"/>
      <c r="G10" s="50" t="s">
        <v>26</v>
      </c>
      <c r="H10" s="57"/>
      <c r="I10" s="52"/>
      <c r="J10" s="52">
        <v>40</v>
      </c>
      <c r="K10" s="53"/>
      <c r="L10" s="54">
        <v>24550</v>
      </c>
      <c r="M10" s="55">
        <f t="shared" si="0"/>
        <v>982000</v>
      </c>
    </row>
    <row r="11" spans="2:13" s="7" customFormat="1" ht="30" x14ac:dyDescent="0.25">
      <c r="B11" s="44">
        <v>4</v>
      </c>
      <c r="C11" s="46" t="s">
        <v>29</v>
      </c>
      <c r="D11" s="47"/>
      <c r="E11" s="48" t="s">
        <v>25</v>
      </c>
      <c r="F11" s="49"/>
      <c r="G11" s="50" t="s">
        <v>26</v>
      </c>
      <c r="H11" s="57"/>
      <c r="I11" s="52"/>
      <c r="J11" s="52">
        <v>100</v>
      </c>
      <c r="K11" s="53"/>
      <c r="L11" s="54">
        <v>18950</v>
      </c>
      <c r="M11" s="55">
        <f t="shared" si="0"/>
        <v>1895000</v>
      </c>
    </row>
    <row r="12" spans="2:13" s="7" customFormat="1" ht="30" x14ac:dyDescent="0.25">
      <c r="B12" s="44">
        <v>5</v>
      </c>
      <c r="C12" s="46" t="s">
        <v>30</v>
      </c>
      <c r="D12" s="47"/>
      <c r="E12" s="48" t="s">
        <v>25</v>
      </c>
      <c r="F12" s="49"/>
      <c r="G12" s="50" t="s">
        <v>26</v>
      </c>
      <c r="H12" s="57"/>
      <c r="I12" s="52"/>
      <c r="J12" s="52">
        <v>120</v>
      </c>
      <c r="K12" s="53"/>
      <c r="L12" s="54">
        <v>10600</v>
      </c>
      <c r="M12" s="55">
        <f t="shared" si="0"/>
        <v>1272000</v>
      </c>
    </row>
    <row r="13" spans="2:13" s="7" customFormat="1" x14ac:dyDescent="0.25">
      <c r="B13" s="44">
        <v>6</v>
      </c>
      <c r="C13" s="46" t="s">
        <v>31</v>
      </c>
      <c r="D13" s="47"/>
      <c r="E13" s="48" t="s">
        <v>25</v>
      </c>
      <c r="F13" s="49"/>
      <c r="G13" s="50" t="s">
        <v>32</v>
      </c>
      <c r="H13" s="57"/>
      <c r="I13" s="52"/>
      <c r="J13" s="52">
        <v>4</v>
      </c>
      <c r="K13" s="53"/>
      <c r="L13" s="54">
        <v>32500</v>
      </c>
      <c r="M13" s="55">
        <f t="shared" si="0"/>
        <v>130000</v>
      </c>
    </row>
    <row r="14" spans="2:13" s="30" customFormat="1" ht="15" x14ac:dyDescent="0.25">
      <c r="B14" s="44">
        <v>7</v>
      </c>
      <c r="C14" s="46" t="s">
        <v>33</v>
      </c>
      <c r="D14" s="47"/>
      <c r="E14" s="48" t="s">
        <v>25</v>
      </c>
      <c r="F14" s="49"/>
      <c r="G14" s="50" t="s">
        <v>32</v>
      </c>
      <c r="H14" s="57"/>
      <c r="I14" s="52"/>
      <c r="J14" s="52">
        <v>8</v>
      </c>
      <c r="K14" s="53"/>
      <c r="L14" s="54">
        <v>32500</v>
      </c>
      <c r="M14" s="55">
        <f t="shared" si="0"/>
        <v>260000</v>
      </c>
    </row>
    <row r="15" spans="2:13" s="30" customFormat="1" ht="15" x14ac:dyDescent="0.25">
      <c r="B15" s="44">
        <v>8</v>
      </c>
      <c r="C15" s="46" t="s">
        <v>34</v>
      </c>
      <c r="D15" s="47"/>
      <c r="E15" s="48" t="s">
        <v>25</v>
      </c>
      <c r="F15" s="49"/>
      <c r="G15" s="50" t="s">
        <v>32</v>
      </c>
      <c r="H15" s="57"/>
      <c r="I15" s="52"/>
      <c r="J15" s="52">
        <v>2</v>
      </c>
      <c r="K15" s="53"/>
      <c r="L15" s="54">
        <v>32500</v>
      </c>
      <c r="M15" s="55">
        <f t="shared" si="0"/>
        <v>65000</v>
      </c>
    </row>
    <row r="16" spans="2:13" s="30" customFormat="1" ht="15" x14ac:dyDescent="0.25">
      <c r="B16" s="44">
        <v>9</v>
      </c>
      <c r="C16" s="56" t="s">
        <v>35</v>
      </c>
      <c r="D16" s="47"/>
      <c r="E16" s="48" t="s">
        <v>25</v>
      </c>
      <c r="F16" s="49"/>
      <c r="G16" s="50"/>
      <c r="H16" s="51"/>
      <c r="I16" s="52"/>
      <c r="J16" s="52">
        <v>2</v>
      </c>
      <c r="K16" s="53"/>
      <c r="L16" s="54">
        <v>18500</v>
      </c>
      <c r="M16" s="55">
        <f t="shared" si="0"/>
        <v>37000</v>
      </c>
    </row>
    <row r="17" spans="2:13" s="13" customFormat="1" ht="15" x14ac:dyDescent="0.25">
      <c r="B17" s="44">
        <v>10</v>
      </c>
      <c r="C17" s="56" t="s">
        <v>36</v>
      </c>
      <c r="D17" s="47"/>
      <c r="E17" s="48" t="s">
        <v>25</v>
      </c>
      <c r="F17" s="49"/>
      <c r="G17" s="50"/>
      <c r="H17" s="58"/>
      <c r="I17" s="52"/>
      <c r="J17" s="52">
        <v>2</v>
      </c>
      <c r="K17" s="53"/>
      <c r="L17" s="54">
        <v>18500</v>
      </c>
      <c r="M17" s="55">
        <f t="shared" si="0"/>
        <v>37000</v>
      </c>
    </row>
    <row r="18" spans="2:13" s="13" customFormat="1" ht="15" x14ac:dyDescent="0.25">
      <c r="B18" s="44">
        <v>11</v>
      </c>
      <c r="C18" s="46" t="s">
        <v>37</v>
      </c>
      <c r="D18" s="47"/>
      <c r="E18" s="48" t="s">
        <v>25</v>
      </c>
      <c r="F18" s="49"/>
      <c r="G18" s="50" t="s">
        <v>32</v>
      </c>
      <c r="H18" s="57"/>
      <c r="I18" s="52"/>
      <c r="J18" s="52">
        <v>7</v>
      </c>
      <c r="K18" s="53"/>
      <c r="L18" s="54">
        <v>8400</v>
      </c>
      <c r="M18" s="55">
        <f t="shared" si="0"/>
        <v>58800</v>
      </c>
    </row>
    <row r="19" spans="2:13" s="18" customFormat="1" ht="15" customHeight="1" x14ac:dyDescent="0.25">
      <c r="B19" s="44">
        <v>12</v>
      </c>
      <c r="C19" s="46" t="s">
        <v>38</v>
      </c>
      <c r="D19" s="47"/>
      <c r="E19" s="48" t="s">
        <v>25</v>
      </c>
      <c r="F19" s="49"/>
      <c r="G19" s="50" t="s">
        <v>32</v>
      </c>
      <c r="H19" s="57"/>
      <c r="I19" s="52"/>
      <c r="J19" s="52">
        <v>30</v>
      </c>
      <c r="K19" s="53"/>
      <c r="L19" s="54">
        <v>4750</v>
      </c>
      <c r="M19" s="55">
        <f t="shared" si="0"/>
        <v>142500</v>
      </c>
    </row>
    <row r="20" spans="2:13" s="36" customFormat="1" ht="14.25" customHeight="1" x14ac:dyDescent="0.25">
      <c r="B20" s="44">
        <v>13</v>
      </c>
      <c r="C20" s="46" t="s">
        <v>39</v>
      </c>
      <c r="D20" s="47"/>
      <c r="E20" s="48" t="s">
        <v>25</v>
      </c>
      <c r="F20" s="49"/>
      <c r="G20" s="50" t="s">
        <v>32</v>
      </c>
      <c r="H20" s="57"/>
      <c r="I20" s="52"/>
      <c r="J20" s="52">
        <v>6</v>
      </c>
      <c r="K20" s="53"/>
      <c r="L20" s="54">
        <v>24050</v>
      </c>
      <c r="M20" s="55">
        <f t="shared" si="0"/>
        <v>144300</v>
      </c>
    </row>
    <row r="21" spans="2:13" s="13" customFormat="1" ht="15" x14ac:dyDescent="0.25">
      <c r="B21" s="44">
        <v>14</v>
      </c>
      <c r="C21" s="56" t="s">
        <v>40</v>
      </c>
      <c r="D21" s="47"/>
      <c r="E21" s="48" t="s">
        <v>25</v>
      </c>
      <c r="F21" s="49"/>
      <c r="G21" s="50"/>
      <c r="H21" s="51"/>
      <c r="I21" s="52"/>
      <c r="J21" s="52">
        <v>2</v>
      </c>
      <c r="K21" s="53"/>
      <c r="L21" s="54">
        <v>12250</v>
      </c>
      <c r="M21" s="55">
        <f t="shared" si="0"/>
        <v>24500</v>
      </c>
    </row>
    <row r="22" spans="2:13" s="13" customFormat="1" ht="22.5" customHeight="1" x14ac:dyDescent="0.25">
      <c r="B22" s="44">
        <v>15</v>
      </c>
      <c r="C22" s="46" t="s">
        <v>41</v>
      </c>
      <c r="D22" s="47"/>
      <c r="E22" s="48" t="s">
        <v>25</v>
      </c>
      <c r="F22" s="49"/>
      <c r="G22" s="50" t="s">
        <v>32</v>
      </c>
      <c r="H22" s="57"/>
      <c r="I22" s="52"/>
      <c r="J22" s="52">
        <v>16</v>
      </c>
      <c r="K22" s="53"/>
      <c r="L22" s="54">
        <v>4750</v>
      </c>
      <c r="M22" s="55">
        <f t="shared" si="0"/>
        <v>76000</v>
      </c>
    </row>
    <row r="23" spans="2:13" s="13" customFormat="1" ht="18" customHeight="1" x14ac:dyDescent="0.25">
      <c r="B23" s="44">
        <v>16</v>
      </c>
      <c r="C23" s="46" t="s">
        <v>42</v>
      </c>
      <c r="D23" s="47"/>
      <c r="E23" s="48" t="s">
        <v>25</v>
      </c>
      <c r="F23" s="49"/>
      <c r="G23" s="50" t="s">
        <v>32</v>
      </c>
      <c r="H23" s="57"/>
      <c r="I23" s="52"/>
      <c r="J23" s="52">
        <v>9</v>
      </c>
      <c r="K23" s="53"/>
      <c r="L23" s="54">
        <v>3050</v>
      </c>
      <c r="M23" s="55">
        <f t="shared" si="0"/>
        <v>27450</v>
      </c>
    </row>
    <row r="24" spans="2:13" s="13" customFormat="1" ht="16.5" customHeight="1" x14ac:dyDescent="0.25">
      <c r="B24" s="44">
        <v>17</v>
      </c>
      <c r="C24" s="46" t="s">
        <v>43</v>
      </c>
      <c r="D24" s="47"/>
      <c r="E24" s="48" t="s">
        <v>25</v>
      </c>
      <c r="F24" s="49"/>
      <c r="G24" s="50" t="s">
        <v>32</v>
      </c>
      <c r="H24" s="57"/>
      <c r="I24" s="52"/>
      <c r="J24" s="52">
        <v>7</v>
      </c>
      <c r="K24" s="53"/>
      <c r="L24" s="54">
        <v>19350</v>
      </c>
      <c r="M24" s="55">
        <f t="shared" si="0"/>
        <v>135450</v>
      </c>
    </row>
    <row r="25" spans="2:13" s="13" customFormat="1" ht="18" customHeight="1" x14ac:dyDescent="0.25">
      <c r="B25" s="44">
        <v>18</v>
      </c>
      <c r="C25" s="46" t="s">
        <v>44</v>
      </c>
      <c r="D25" s="47"/>
      <c r="E25" s="48" t="s">
        <v>25</v>
      </c>
      <c r="F25" s="49"/>
      <c r="G25" s="50" t="s">
        <v>32</v>
      </c>
      <c r="H25" s="57"/>
      <c r="I25" s="52"/>
      <c r="J25" s="52">
        <v>4</v>
      </c>
      <c r="K25" s="53"/>
      <c r="L25" s="54">
        <v>17500</v>
      </c>
      <c r="M25" s="55">
        <f t="shared" si="0"/>
        <v>70000</v>
      </c>
    </row>
    <row r="26" spans="2:13" s="13" customFormat="1" ht="18" customHeight="1" x14ac:dyDescent="0.25">
      <c r="B26" s="44">
        <v>19</v>
      </c>
      <c r="C26" s="56" t="s">
        <v>45</v>
      </c>
      <c r="D26" s="47"/>
      <c r="E26" s="48" t="s">
        <v>25</v>
      </c>
      <c r="F26" s="49"/>
      <c r="G26" s="50"/>
      <c r="H26" s="51"/>
      <c r="I26" s="52"/>
      <c r="J26" s="52">
        <v>4</v>
      </c>
      <c r="K26" s="53"/>
      <c r="L26" s="54">
        <v>10000</v>
      </c>
      <c r="M26" s="55">
        <f t="shared" si="0"/>
        <v>40000</v>
      </c>
    </row>
    <row r="27" spans="2:13" s="33" customFormat="1" ht="30.75" customHeight="1" x14ac:dyDescent="0.25">
      <c r="B27" s="44">
        <v>20</v>
      </c>
      <c r="C27" s="46" t="s">
        <v>46</v>
      </c>
      <c r="D27" s="47"/>
      <c r="E27" s="48" t="s">
        <v>25</v>
      </c>
      <c r="F27" s="49"/>
      <c r="G27" s="50" t="s">
        <v>32</v>
      </c>
      <c r="H27" s="57"/>
      <c r="I27" s="52"/>
      <c r="J27" s="52">
        <v>1</v>
      </c>
      <c r="K27" s="53"/>
      <c r="L27" s="54">
        <v>6100</v>
      </c>
      <c r="M27" s="55">
        <f t="shared" si="0"/>
        <v>6100</v>
      </c>
    </row>
    <row r="28" spans="2:13" s="13" customFormat="1" ht="15" customHeight="1" x14ac:dyDescent="0.25">
      <c r="B28" s="44">
        <v>21</v>
      </c>
      <c r="C28" s="46" t="s">
        <v>47</v>
      </c>
      <c r="D28" s="47"/>
      <c r="E28" s="48" t="s">
        <v>25</v>
      </c>
      <c r="F28" s="49"/>
      <c r="G28" s="50" t="s">
        <v>32</v>
      </c>
      <c r="H28" s="57"/>
      <c r="I28" s="52"/>
      <c r="J28" s="52">
        <v>16</v>
      </c>
      <c r="K28" s="53"/>
      <c r="L28" s="54">
        <v>3500</v>
      </c>
      <c r="M28" s="55">
        <f t="shared" si="0"/>
        <v>56000</v>
      </c>
    </row>
    <row r="29" spans="2:13" s="13" customFormat="1" ht="15" x14ac:dyDescent="0.25">
      <c r="B29" s="44">
        <v>22</v>
      </c>
      <c r="C29" s="46" t="s">
        <v>48</v>
      </c>
      <c r="D29" s="47"/>
      <c r="E29" s="48" t="s">
        <v>25</v>
      </c>
      <c r="F29" s="49"/>
      <c r="G29" s="50" t="s">
        <v>32</v>
      </c>
      <c r="H29" s="57"/>
      <c r="I29" s="52"/>
      <c r="J29" s="52">
        <v>50</v>
      </c>
      <c r="K29" s="53"/>
      <c r="L29" s="54">
        <v>2600</v>
      </c>
      <c r="M29" s="55">
        <f t="shared" si="0"/>
        <v>130000</v>
      </c>
    </row>
    <row r="30" spans="2:13" s="13" customFormat="1" ht="30" x14ac:dyDescent="0.25">
      <c r="B30" s="44">
        <v>23</v>
      </c>
      <c r="C30" s="46" t="s">
        <v>49</v>
      </c>
      <c r="D30" s="47"/>
      <c r="E30" s="48" t="s">
        <v>25</v>
      </c>
      <c r="F30" s="49"/>
      <c r="G30" s="50" t="s">
        <v>32</v>
      </c>
      <c r="H30" s="57"/>
      <c r="I30" s="52"/>
      <c r="J30" s="52">
        <v>2</v>
      </c>
      <c r="K30" s="53"/>
      <c r="L30" s="54">
        <v>9150</v>
      </c>
      <c r="M30" s="55">
        <f t="shared" si="0"/>
        <v>18300</v>
      </c>
    </row>
    <row r="31" spans="2:13" s="4" customFormat="1" ht="30" x14ac:dyDescent="0.25">
      <c r="B31" s="44">
        <v>24</v>
      </c>
      <c r="C31" s="46" t="s">
        <v>50</v>
      </c>
      <c r="D31" s="47"/>
      <c r="E31" s="48" t="s">
        <v>25</v>
      </c>
      <c r="F31" s="49"/>
      <c r="G31" s="50" t="s">
        <v>32</v>
      </c>
      <c r="H31" s="57"/>
      <c r="I31" s="52"/>
      <c r="J31" s="52">
        <v>10</v>
      </c>
      <c r="K31" s="53"/>
      <c r="L31" s="54">
        <v>5650</v>
      </c>
      <c r="M31" s="55">
        <f t="shared" si="0"/>
        <v>56500</v>
      </c>
    </row>
    <row r="32" spans="2:13" s="4" customFormat="1" ht="15" x14ac:dyDescent="0.25">
      <c r="B32" s="44">
        <v>25</v>
      </c>
      <c r="C32" s="46" t="s">
        <v>51</v>
      </c>
      <c r="D32" s="47"/>
      <c r="E32" s="48" t="s">
        <v>25</v>
      </c>
      <c r="F32" s="49"/>
      <c r="G32" s="50" t="s">
        <v>32</v>
      </c>
      <c r="H32" s="57"/>
      <c r="I32" s="52"/>
      <c r="J32" s="52">
        <v>35</v>
      </c>
      <c r="K32" s="53"/>
      <c r="L32" s="54">
        <v>19200</v>
      </c>
      <c r="M32" s="55">
        <f t="shared" si="0"/>
        <v>672000</v>
      </c>
    </row>
    <row r="33" spans="2:13" s="4" customFormat="1" ht="30" x14ac:dyDescent="0.25">
      <c r="B33" s="44">
        <v>26</v>
      </c>
      <c r="C33" s="59" t="s">
        <v>52</v>
      </c>
      <c r="D33" s="47"/>
      <c r="E33" s="48" t="s">
        <v>25</v>
      </c>
      <c r="F33" s="49"/>
      <c r="G33" s="48" t="s">
        <v>32</v>
      </c>
      <c r="H33" s="57"/>
      <c r="I33" s="52"/>
      <c r="J33" s="52">
        <v>10</v>
      </c>
      <c r="K33" s="53"/>
      <c r="L33" s="54">
        <v>10450</v>
      </c>
      <c r="M33" s="55">
        <f t="shared" si="0"/>
        <v>104500</v>
      </c>
    </row>
    <row r="34" spans="2:13" s="4" customFormat="1" ht="30" x14ac:dyDescent="0.25">
      <c r="B34" s="44">
        <v>27</v>
      </c>
      <c r="C34" s="60" t="s">
        <v>53</v>
      </c>
      <c r="D34" s="47"/>
      <c r="E34" s="48" t="s">
        <v>25</v>
      </c>
      <c r="F34" s="49"/>
      <c r="G34" s="48"/>
      <c r="H34" s="57"/>
      <c r="I34" s="52"/>
      <c r="J34" s="52">
        <v>10</v>
      </c>
      <c r="K34" s="53"/>
      <c r="L34" s="54">
        <v>5800</v>
      </c>
      <c r="M34" s="55">
        <f t="shared" si="0"/>
        <v>58000</v>
      </c>
    </row>
    <row r="35" spans="2:13" ht="30" x14ac:dyDescent="0.25">
      <c r="B35" s="44">
        <v>28</v>
      </c>
      <c r="C35" s="59" t="s">
        <v>54</v>
      </c>
      <c r="D35" s="47"/>
      <c r="E35" s="48" t="s">
        <v>25</v>
      </c>
      <c r="F35" s="49"/>
      <c r="G35" s="48" t="s">
        <v>32</v>
      </c>
      <c r="H35" s="57"/>
      <c r="I35" s="52"/>
      <c r="J35" s="52">
        <v>10</v>
      </c>
      <c r="K35" s="53"/>
      <c r="L35" s="54">
        <v>3600</v>
      </c>
      <c r="M35" s="55">
        <f t="shared" si="0"/>
        <v>36000</v>
      </c>
    </row>
    <row r="36" spans="2:13" ht="30" x14ac:dyDescent="0.25">
      <c r="B36" s="44">
        <v>29</v>
      </c>
      <c r="C36" s="59" t="s">
        <v>55</v>
      </c>
      <c r="D36" s="47"/>
      <c r="E36" s="48" t="s">
        <v>25</v>
      </c>
      <c r="F36" s="49"/>
      <c r="G36" s="48" t="s">
        <v>32</v>
      </c>
      <c r="H36" s="57"/>
      <c r="I36" s="52"/>
      <c r="J36" s="52">
        <v>25</v>
      </c>
      <c r="K36" s="53"/>
      <c r="L36" s="54">
        <v>2350</v>
      </c>
      <c r="M36" s="55">
        <f t="shared" si="0"/>
        <v>58750</v>
      </c>
    </row>
    <row r="37" spans="2:13" ht="30" x14ac:dyDescent="0.25">
      <c r="B37" s="44">
        <v>30</v>
      </c>
      <c r="C37" s="59" t="s">
        <v>56</v>
      </c>
      <c r="D37" s="47"/>
      <c r="E37" s="48" t="s">
        <v>25</v>
      </c>
      <c r="F37" s="49"/>
      <c r="G37" s="48" t="s">
        <v>32</v>
      </c>
      <c r="H37" s="57"/>
      <c r="I37" s="52"/>
      <c r="J37" s="52">
        <v>40</v>
      </c>
      <c r="K37" s="53"/>
      <c r="L37" s="54">
        <v>1400</v>
      </c>
      <c r="M37" s="55">
        <f t="shared" si="0"/>
        <v>56000</v>
      </c>
    </row>
    <row r="38" spans="2:13" ht="30" x14ac:dyDescent="0.25">
      <c r="B38" s="44">
        <v>31</v>
      </c>
      <c r="C38" s="59" t="s">
        <v>57</v>
      </c>
      <c r="D38" s="47"/>
      <c r="E38" s="48" t="s">
        <v>25</v>
      </c>
      <c r="F38" s="49"/>
      <c r="G38" s="48" t="s">
        <v>32</v>
      </c>
      <c r="H38" s="57"/>
      <c r="I38" s="52"/>
      <c r="J38" s="52">
        <v>1</v>
      </c>
      <c r="K38" s="53"/>
      <c r="L38" s="54">
        <v>8550</v>
      </c>
      <c r="M38" s="55">
        <f t="shared" si="0"/>
        <v>8550</v>
      </c>
    </row>
    <row r="39" spans="2:13" ht="30" x14ac:dyDescent="0.25">
      <c r="B39" s="44">
        <v>32</v>
      </c>
      <c r="C39" s="59" t="s">
        <v>58</v>
      </c>
      <c r="D39" s="47"/>
      <c r="E39" s="48" t="s">
        <v>25</v>
      </c>
      <c r="F39" s="49"/>
      <c r="G39" s="48" t="s">
        <v>32</v>
      </c>
      <c r="H39" s="57"/>
      <c r="I39" s="52"/>
      <c r="J39" s="52">
        <v>1</v>
      </c>
      <c r="K39" s="53"/>
      <c r="L39" s="54">
        <v>8550</v>
      </c>
      <c r="M39" s="55">
        <f t="shared" si="0"/>
        <v>8550</v>
      </c>
    </row>
    <row r="40" spans="2:13" ht="30" x14ac:dyDescent="0.25">
      <c r="B40" s="44">
        <v>33</v>
      </c>
      <c r="C40" s="59" t="s">
        <v>59</v>
      </c>
      <c r="D40" s="47"/>
      <c r="E40" s="48" t="s">
        <v>25</v>
      </c>
      <c r="F40" s="49"/>
      <c r="G40" s="48" t="s">
        <v>32</v>
      </c>
      <c r="H40" s="57"/>
      <c r="I40" s="52"/>
      <c r="J40" s="52">
        <v>1</v>
      </c>
      <c r="K40" s="53"/>
      <c r="L40" s="54">
        <v>8550</v>
      </c>
      <c r="M40" s="55">
        <f t="shared" si="0"/>
        <v>8550</v>
      </c>
    </row>
    <row r="41" spans="2:13" hidden="1" x14ac:dyDescent="0.25">
      <c r="B41" s="44">
        <v>34</v>
      </c>
      <c r="C41" s="46" t="s">
        <v>60</v>
      </c>
      <c r="D41" s="47"/>
      <c r="E41" s="48" t="s">
        <v>25</v>
      </c>
      <c r="F41" s="49"/>
      <c r="G41" s="50" t="s">
        <v>32</v>
      </c>
      <c r="H41" s="51"/>
      <c r="I41" s="52"/>
      <c r="J41" s="52"/>
      <c r="K41" s="53"/>
      <c r="L41" s="54"/>
      <c r="M41" s="55">
        <f t="shared" si="0"/>
        <v>0</v>
      </c>
    </row>
    <row r="42" spans="2:13" hidden="1" x14ac:dyDescent="0.25">
      <c r="B42" s="44">
        <v>35</v>
      </c>
      <c r="C42" s="46" t="s">
        <v>61</v>
      </c>
      <c r="D42" s="47"/>
      <c r="E42" s="48" t="s">
        <v>25</v>
      </c>
      <c r="F42" s="49"/>
      <c r="G42" s="50" t="s">
        <v>32</v>
      </c>
      <c r="H42" s="51"/>
      <c r="I42" s="52"/>
      <c r="J42" s="52"/>
      <c r="K42" s="53"/>
      <c r="L42" s="54"/>
      <c r="M42" s="55">
        <f t="shared" si="0"/>
        <v>0</v>
      </c>
    </row>
    <row r="43" spans="2:13" hidden="1" x14ac:dyDescent="0.25">
      <c r="B43" s="44">
        <v>36</v>
      </c>
      <c r="C43" s="46" t="s">
        <v>62</v>
      </c>
      <c r="D43" s="47"/>
      <c r="E43" s="48" t="s">
        <v>25</v>
      </c>
      <c r="F43" s="49"/>
      <c r="G43" s="50" t="s">
        <v>32</v>
      </c>
      <c r="H43" s="51"/>
      <c r="I43" s="52"/>
      <c r="J43" s="52"/>
      <c r="K43" s="53"/>
      <c r="L43" s="54"/>
      <c r="M43" s="55">
        <f t="shared" si="0"/>
        <v>0</v>
      </c>
    </row>
    <row r="44" spans="2:13" hidden="1" x14ac:dyDescent="0.25">
      <c r="B44" s="44">
        <v>37</v>
      </c>
      <c r="C44" s="46" t="s">
        <v>63</v>
      </c>
      <c r="D44" s="47"/>
      <c r="E44" s="48" t="s">
        <v>25</v>
      </c>
      <c r="F44" s="49"/>
      <c r="G44" s="50" t="s">
        <v>26</v>
      </c>
      <c r="H44" s="51"/>
      <c r="I44" s="52"/>
      <c r="J44" s="52"/>
      <c r="K44" s="53"/>
      <c r="L44" s="54"/>
      <c r="M44" s="55">
        <f t="shared" si="0"/>
        <v>0</v>
      </c>
    </row>
    <row r="45" spans="2:13" hidden="1" x14ac:dyDescent="0.25">
      <c r="B45" s="44">
        <v>38</v>
      </c>
      <c r="C45" s="46" t="s">
        <v>64</v>
      </c>
      <c r="D45" s="47"/>
      <c r="E45" s="48" t="s">
        <v>25</v>
      </c>
      <c r="F45" s="49"/>
      <c r="G45" s="50" t="s">
        <v>32</v>
      </c>
      <c r="H45" s="51"/>
      <c r="I45" s="52"/>
      <c r="J45" s="52"/>
      <c r="K45" s="53"/>
      <c r="L45" s="54"/>
      <c r="M45" s="55">
        <f t="shared" si="0"/>
        <v>0</v>
      </c>
    </row>
    <row r="46" spans="2:13" hidden="1" x14ac:dyDescent="0.25">
      <c r="B46" s="44">
        <v>39</v>
      </c>
      <c r="C46" s="46" t="s">
        <v>65</v>
      </c>
      <c r="D46" s="47"/>
      <c r="E46" s="48" t="s">
        <v>25</v>
      </c>
      <c r="F46" s="49"/>
      <c r="G46" s="50" t="s">
        <v>32</v>
      </c>
      <c r="H46" s="51"/>
      <c r="I46" s="52"/>
      <c r="J46" s="52"/>
      <c r="K46" s="53"/>
      <c r="L46" s="54"/>
      <c r="M46" s="55">
        <f t="shared" si="0"/>
        <v>0</v>
      </c>
    </row>
    <row r="47" spans="2:13" hidden="1" x14ac:dyDescent="0.25">
      <c r="B47" s="44">
        <v>40</v>
      </c>
      <c r="C47" s="46" t="s">
        <v>66</v>
      </c>
      <c r="D47" s="47"/>
      <c r="E47" s="48" t="s">
        <v>25</v>
      </c>
      <c r="F47" s="49"/>
      <c r="G47" s="50" t="s">
        <v>32</v>
      </c>
      <c r="H47" s="51"/>
      <c r="I47" s="52"/>
      <c r="J47" s="52"/>
      <c r="K47" s="53"/>
      <c r="L47" s="54"/>
      <c r="M47" s="55">
        <f t="shared" si="0"/>
        <v>0</v>
      </c>
    </row>
    <row r="48" spans="2:13" hidden="1" x14ac:dyDescent="0.25">
      <c r="B48" s="44">
        <v>41</v>
      </c>
      <c r="C48" s="46" t="s">
        <v>67</v>
      </c>
      <c r="D48" s="47"/>
      <c r="E48" s="48" t="s">
        <v>25</v>
      </c>
      <c r="F48" s="49"/>
      <c r="G48" s="50" t="s">
        <v>32</v>
      </c>
      <c r="H48" s="51"/>
      <c r="I48" s="52"/>
      <c r="J48" s="52"/>
      <c r="K48" s="53"/>
      <c r="L48" s="54"/>
      <c r="M48" s="55">
        <f t="shared" si="0"/>
        <v>0</v>
      </c>
    </row>
    <row r="49" spans="2:13" hidden="1" x14ac:dyDescent="0.25">
      <c r="B49" s="44">
        <v>42</v>
      </c>
      <c r="C49" s="46" t="s">
        <v>68</v>
      </c>
      <c r="D49" s="47"/>
      <c r="E49" s="48" t="s">
        <v>25</v>
      </c>
      <c r="F49" s="49"/>
      <c r="G49" s="50" t="s">
        <v>26</v>
      </c>
      <c r="H49" s="51"/>
      <c r="I49" s="52"/>
      <c r="J49" s="52"/>
      <c r="K49" s="53"/>
      <c r="L49" s="54"/>
      <c r="M49" s="55">
        <f t="shared" si="0"/>
        <v>0</v>
      </c>
    </row>
    <row r="50" spans="2:13" hidden="1" x14ac:dyDescent="0.25">
      <c r="B50" s="44">
        <v>43</v>
      </c>
      <c r="C50" s="46" t="s">
        <v>69</v>
      </c>
      <c r="D50" s="47"/>
      <c r="E50" s="48" t="s">
        <v>25</v>
      </c>
      <c r="F50" s="49"/>
      <c r="G50" s="50" t="s">
        <v>26</v>
      </c>
      <c r="H50" s="51"/>
      <c r="I50" s="52"/>
      <c r="J50" s="52"/>
      <c r="K50" s="53"/>
      <c r="L50" s="54"/>
      <c r="M50" s="55">
        <f t="shared" si="0"/>
        <v>0</v>
      </c>
    </row>
    <row r="51" spans="2:13" hidden="1" x14ac:dyDescent="0.25">
      <c r="B51" s="44">
        <v>44</v>
      </c>
      <c r="C51" s="46" t="s">
        <v>70</v>
      </c>
      <c r="D51" s="47"/>
      <c r="E51" s="48" t="s">
        <v>25</v>
      </c>
      <c r="F51" s="49"/>
      <c r="G51" s="50" t="s">
        <v>32</v>
      </c>
      <c r="H51" s="51"/>
      <c r="I51" s="52"/>
      <c r="J51" s="52"/>
      <c r="K51" s="53"/>
      <c r="L51" s="54"/>
      <c r="M51" s="55">
        <f t="shared" si="0"/>
        <v>0</v>
      </c>
    </row>
    <row r="52" spans="2:13" hidden="1" x14ac:dyDescent="0.25">
      <c r="B52" s="44">
        <v>45</v>
      </c>
      <c r="C52" s="46" t="s">
        <v>71</v>
      </c>
      <c r="D52" s="47"/>
      <c r="E52" s="48" t="s">
        <v>25</v>
      </c>
      <c r="F52" s="49"/>
      <c r="G52" s="50" t="s">
        <v>32</v>
      </c>
      <c r="H52" s="51"/>
      <c r="I52" s="52"/>
      <c r="J52" s="52"/>
      <c r="K52" s="53"/>
      <c r="L52" s="54"/>
      <c r="M52" s="55">
        <f t="shared" si="0"/>
        <v>0</v>
      </c>
    </row>
    <row r="53" spans="2:13" x14ac:dyDescent="0.25">
      <c r="B53" s="44">
        <v>46</v>
      </c>
      <c r="C53" s="46" t="s">
        <v>148</v>
      </c>
      <c r="D53" s="47"/>
      <c r="E53" s="48" t="s">
        <v>25</v>
      </c>
      <c r="F53" s="49"/>
      <c r="G53" s="50" t="s">
        <v>32</v>
      </c>
      <c r="H53" s="51"/>
      <c r="I53" s="52"/>
      <c r="J53" s="51">
        <v>17</v>
      </c>
      <c r="K53" s="53"/>
      <c r="L53" s="54">
        <v>1300</v>
      </c>
      <c r="M53" s="55">
        <f t="shared" si="0"/>
        <v>22100</v>
      </c>
    </row>
    <row r="54" spans="2:13" x14ac:dyDescent="0.25">
      <c r="B54" s="44">
        <v>47</v>
      </c>
      <c r="C54" s="46" t="s">
        <v>149</v>
      </c>
      <c r="D54" s="47"/>
      <c r="E54" s="48" t="s">
        <v>25</v>
      </c>
      <c r="F54" s="49"/>
      <c r="G54" s="50" t="s">
        <v>32</v>
      </c>
      <c r="H54" s="51"/>
      <c r="I54" s="52"/>
      <c r="J54" s="51">
        <v>10</v>
      </c>
      <c r="K54" s="53"/>
      <c r="L54" s="54">
        <v>2250</v>
      </c>
      <c r="M54" s="55">
        <f t="shared" si="0"/>
        <v>22500</v>
      </c>
    </row>
    <row r="55" spans="2:13" x14ac:dyDescent="0.25">
      <c r="B55" s="44">
        <v>48</v>
      </c>
      <c r="C55" s="46" t="s">
        <v>72</v>
      </c>
      <c r="D55" s="47"/>
      <c r="E55" s="48" t="s">
        <v>25</v>
      </c>
      <c r="F55" s="49"/>
      <c r="G55" s="50" t="s">
        <v>73</v>
      </c>
      <c r="H55" s="51"/>
      <c r="I55" s="52"/>
      <c r="J55" s="51">
        <v>2</v>
      </c>
      <c r="K55" s="53"/>
      <c r="L55" s="54">
        <v>89505</v>
      </c>
      <c r="M55" s="55">
        <f t="shared" si="0"/>
        <v>179010</v>
      </c>
    </row>
    <row r="56" spans="2:13" x14ac:dyDescent="0.25">
      <c r="B56" s="44">
        <v>49</v>
      </c>
      <c r="C56" s="46" t="s">
        <v>74</v>
      </c>
      <c r="D56" s="47"/>
      <c r="E56" s="48" t="s">
        <v>25</v>
      </c>
      <c r="F56" s="49"/>
      <c r="G56" s="50" t="s">
        <v>75</v>
      </c>
      <c r="H56" s="51"/>
      <c r="I56" s="52"/>
      <c r="J56" s="51">
        <v>50</v>
      </c>
      <c r="K56" s="53"/>
      <c r="L56" s="54">
        <v>0</v>
      </c>
      <c r="M56" s="55">
        <f t="shared" si="0"/>
        <v>0</v>
      </c>
    </row>
    <row r="57" spans="2:13" x14ac:dyDescent="0.25">
      <c r="B57" s="44">
        <v>50</v>
      </c>
      <c r="C57" s="46" t="s">
        <v>76</v>
      </c>
      <c r="D57" s="47"/>
      <c r="E57" s="48" t="s">
        <v>25</v>
      </c>
      <c r="F57" s="49"/>
      <c r="G57" s="50" t="s">
        <v>73</v>
      </c>
      <c r="H57" s="51"/>
      <c r="I57" s="52"/>
      <c r="J57" s="51">
        <v>5</v>
      </c>
      <c r="K57" s="53"/>
      <c r="L57" s="54">
        <v>0</v>
      </c>
      <c r="M57" s="55">
        <f t="shared" si="0"/>
        <v>0</v>
      </c>
    </row>
    <row r="58" spans="2:13" x14ac:dyDescent="0.25">
      <c r="B58" s="44">
        <v>51</v>
      </c>
      <c r="C58" s="46" t="s">
        <v>77</v>
      </c>
      <c r="D58" s="47" t="s">
        <v>78</v>
      </c>
      <c r="E58" s="48" t="s">
        <v>25</v>
      </c>
      <c r="F58" s="49"/>
      <c r="G58" s="50" t="s">
        <v>79</v>
      </c>
      <c r="H58" s="51"/>
      <c r="I58" s="52"/>
      <c r="J58" s="51">
        <v>5</v>
      </c>
      <c r="K58" s="53"/>
      <c r="L58" s="54">
        <v>0</v>
      </c>
      <c r="M58" s="55">
        <f t="shared" si="0"/>
        <v>0</v>
      </c>
    </row>
    <row r="59" spans="2:13" x14ac:dyDescent="0.25">
      <c r="B59" s="61"/>
      <c r="C59" s="62" t="s">
        <v>80</v>
      </c>
      <c r="D59" s="47"/>
      <c r="E59" s="48"/>
      <c r="F59" s="49"/>
      <c r="G59" s="63"/>
      <c r="H59" s="64"/>
      <c r="I59" s="52"/>
      <c r="J59" s="52"/>
      <c r="K59" s="53"/>
      <c r="L59" s="54"/>
      <c r="M59" s="55">
        <f t="shared" si="0"/>
        <v>0</v>
      </c>
    </row>
    <row r="60" spans="2:13" ht="30" hidden="1" x14ac:dyDescent="0.25">
      <c r="B60" s="61">
        <v>1</v>
      </c>
      <c r="C60" s="46" t="s">
        <v>81</v>
      </c>
      <c r="D60" s="47"/>
      <c r="E60" s="48" t="s">
        <v>25</v>
      </c>
      <c r="F60" s="49"/>
      <c r="G60" s="50" t="s">
        <v>32</v>
      </c>
      <c r="H60" s="51"/>
      <c r="I60" s="65"/>
      <c r="J60" s="52"/>
      <c r="K60" s="53"/>
      <c r="L60" s="54"/>
      <c r="M60" s="55">
        <f t="shared" si="0"/>
        <v>0</v>
      </c>
    </row>
    <row r="61" spans="2:13" ht="30" hidden="1" x14ac:dyDescent="0.25">
      <c r="B61" s="61">
        <v>2</v>
      </c>
      <c r="C61" s="46" t="s">
        <v>82</v>
      </c>
      <c r="D61" s="47"/>
      <c r="E61" s="48" t="s">
        <v>25</v>
      </c>
      <c r="F61" s="49"/>
      <c r="G61" s="50" t="s">
        <v>26</v>
      </c>
      <c r="H61" s="51"/>
      <c r="I61" s="65"/>
      <c r="J61" s="52"/>
      <c r="K61" s="53"/>
      <c r="L61" s="54"/>
      <c r="M61" s="55">
        <f t="shared" si="0"/>
        <v>0</v>
      </c>
    </row>
    <row r="62" spans="2:13" ht="30" hidden="1" x14ac:dyDescent="0.25">
      <c r="B62" s="61">
        <v>3</v>
      </c>
      <c r="C62" s="46" t="s">
        <v>83</v>
      </c>
      <c r="D62" s="47"/>
      <c r="E62" s="48" t="s">
        <v>25</v>
      </c>
      <c r="F62" s="49"/>
      <c r="G62" s="50" t="s">
        <v>26</v>
      </c>
      <c r="H62" s="51"/>
      <c r="I62" s="65"/>
      <c r="J62" s="52"/>
      <c r="K62" s="53"/>
      <c r="L62" s="54"/>
      <c r="M62" s="55">
        <f t="shared" si="0"/>
        <v>0</v>
      </c>
    </row>
    <row r="63" spans="2:13" x14ac:dyDescent="0.25">
      <c r="B63" s="61">
        <v>4</v>
      </c>
      <c r="C63" s="66" t="s">
        <v>84</v>
      </c>
      <c r="D63" s="47"/>
      <c r="E63" s="48" t="s">
        <v>25</v>
      </c>
      <c r="F63" s="49"/>
      <c r="G63" s="67" t="s">
        <v>85</v>
      </c>
      <c r="H63" s="68"/>
      <c r="I63" s="52"/>
      <c r="J63" s="52">
        <v>60</v>
      </c>
      <c r="K63" s="53"/>
      <c r="L63" s="54">
        <v>176550</v>
      </c>
      <c r="M63" s="55">
        <f t="shared" si="0"/>
        <v>10593000</v>
      </c>
    </row>
    <row r="64" spans="2:13" hidden="1" x14ac:dyDescent="0.25">
      <c r="B64" s="61">
        <v>5</v>
      </c>
      <c r="C64" s="66" t="s">
        <v>86</v>
      </c>
      <c r="D64" s="47"/>
      <c r="E64" s="48" t="s">
        <v>25</v>
      </c>
      <c r="F64" s="49"/>
      <c r="G64" s="67" t="s">
        <v>32</v>
      </c>
      <c r="H64" s="68"/>
      <c r="I64" s="52"/>
      <c r="J64" s="52"/>
      <c r="K64" s="53"/>
      <c r="L64" s="54"/>
      <c r="M64" s="55">
        <f t="shared" si="0"/>
        <v>0</v>
      </c>
    </row>
    <row r="65" spans="2:13" ht="30" x14ac:dyDescent="0.25">
      <c r="B65" s="61">
        <v>6</v>
      </c>
      <c r="C65" s="66" t="s">
        <v>87</v>
      </c>
      <c r="D65" s="47"/>
      <c r="E65" s="48" t="s">
        <v>25</v>
      </c>
      <c r="F65" s="49"/>
      <c r="G65" s="67" t="s">
        <v>32</v>
      </c>
      <c r="H65" s="68"/>
      <c r="I65" s="52"/>
      <c r="J65" s="52">
        <v>4</v>
      </c>
      <c r="K65" s="53"/>
      <c r="L65" s="54">
        <v>155127</v>
      </c>
      <c r="M65" s="55">
        <f t="shared" si="0"/>
        <v>620508</v>
      </c>
    </row>
    <row r="66" spans="2:13" x14ac:dyDescent="0.25">
      <c r="B66" s="61">
        <v>7</v>
      </c>
      <c r="C66" s="66" t="s">
        <v>88</v>
      </c>
      <c r="D66" s="47"/>
      <c r="E66" s="48" t="s">
        <v>25</v>
      </c>
      <c r="F66" s="49"/>
      <c r="G66" s="67" t="s">
        <v>32</v>
      </c>
      <c r="H66" s="68"/>
      <c r="I66" s="52"/>
      <c r="J66" s="52">
        <v>1</v>
      </c>
      <c r="K66" s="53"/>
      <c r="L66" s="54">
        <v>59511</v>
      </c>
      <c r="M66" s="55">
        <f t="shared" si="0"/>
        <v>59511</v>
      </c>
    </row>
    <row r="67" spans="2:13" hidden="1" x14ac:dyDescent="0.25">
      <c r="B67" s="61">
        <v>8</v>
      </c>
      <c r="C67" s="46" t="s">
        <v>89</v>
      </c>
      <c r="D67" s="47"/>
      <c r="E67" s="48" t="s">
        <v>25</v>
      </c>
      <c r="F67" s="49"/>
      <c r="G67" s="50" t="s">
        <v>32</v>
      </c>
      <c r="H67" s="51"/>
      <c r="I67" s="52"/>
      <c r="J67" s="52"/>
      <c r="K67" s="53"/>
      <c r="L67" s="54"/>
      <c r="M67" s="55">
        <f t="shared" si="0"/>
        <v>0</v>
      </c>
    </row>
    <row r="68" spans="2:13" ht="30" x14ac:dyDescent="0.25">
      <c r="B68" s="69">
        <v>9</v>
      </c>
      <c r="C68" s="70" t="s">
        <v>90</v>
      </c>
      <c r="D68" s="71"/>
      <c r="E68" s="48" t="s">
        <v>25</v>
      </c>
      <c r="F68" s="72"/>
      <c r="G68" s="73" t="s">
        <v>26</v>
      </c>
      <c r="H68" s="74"/>
      <c r="I68" s="75"/>
      <c r="J68" s="75">
        <v>44</v>
      </c>
      <c r="K68" s="76"/>
      <c r="L68" s="77">
        <v>112714</v>
      </c>
      <c r="M68" s="55">
        <f t="shared" si="0"/>
        <v>4959416</v>
      </c>
    </row>
    <row r="69" spans="2:13" ht="30" x14ac:dyDescent="0.25">
      <c r="B69" s="61">
        <v>10</v>
      </c>
      <c r="C69" s="46" t="s">
        <v>91</v>
      </c>
      <c r="D69" s="47"/>
      <c r="E69" s="48" t="s">
        <v>25</v>
      </c>
      <c r="F69" s="49"/>
      <c r="G69" s="50" t="s">
        <v>26</v>
      </c>
      <c r="H69" s="51"/>
      <c r="I69" s="52"/>
      <c r="J69" s="52">
        <v>40</v>
      </c>
      <c r="K69" s="53"/>
      <c r="L69" s="54">
        <v>58598</v>
      </c>
      <c r="M69" s="55">
        <f t="shared" si="0"/>
        <v>2343920</v>
      </c>
    </row>
    <row r="70" spans="2:13" ht="30" x14ac:dyDescent="0.25">
      <c r="B70" s="69">
        <v>11</v>
      </c>
      <c r="C70" s="70" t="s">
        <v>92</v>
      </c>
      <c r="D70" s="71"/>
      <c r="E70" s="48" t="s">
        <v>25</v>
      </c>
      <c r="F70" s="72"/>
      <c r="G70" s="73" t="s">
        <v>26</v>
      </c>
      <c r="H70" s="74"/>
      <c r="I70" s="75"/>
      <c r="J70" s="75">
        <v>28</v>
      </c>
      <c r="K70" s="76"/>
      <c r="L70" s="77">
        <v>40504</v>
      </c>
      <c r="M70" s="55">
        <f t="shared" si="0"/>
        <v>1134112</v>
      </c>
    </row>
    <row r="71" spans="2:13" ht="30" hidden="1" x14ac:dyDescent="0.25">
      <c r="B71" s="61">
        <v>12</v>
      </c>
      <c r="C71" s="46" t="s">
        <v>93</v>
      </c>
      <c r="D71" s="47"/>
      <c r="E71" s="48" t="s">
        <v>25</v>
      </c>
      <c r="F71" s="49"/>
      <c r="G71" s="50" t="s">
        <v>26</v>
      </c>
      <c r="H71" s="51"/>
      <c r="I71" s="52"/>
      <c r="J71" s="52"/>
      <c r="K71" s="53"/>
      <c r="L71" s="54"/>
      <c r="M71" s="55">
        <f t="shared" si="0"/>
        <v>0</v>
      </c>
    </row>
    <row r="72" spans="2:13" ht="30" hidden="1" x14ac:dyDescent="0.25">
      <c r="B72" s="61">
        <v>13</v>
      </c>
      <c r="C72" s="46" t="s">
        <v>94</v>
      </c>
      <c r="D72" s="47"/>
      <c r="E72" s="48" t="s">
        <v>25</v>
      </c>
      <c r="F72" s="49"/>
      <c r="G72" s="50" t="s">
        <v>26</v>
      </c>
      <c r="H72" s="51"/>
      <c r="I72" s="52"/>
      <c r="J72" s="52"/>
      <c r="K72" s="53"/>
      <c r="L72" s="54"/>
      <c r="M72" s="55">
        <f t="shared" si="0"/>
        <v>0</v>
      </c>
    </row>
    <row r="73" spans="2:13" ht="30" x14ac:dyDescent="0.25">
      <c r="B73" s="61">
        <v>14</v>
      </c>
      <c r="C73" s="46" t="s">
        <v>95</v>
      </c>
      <c r="D73" s="47"/>
      <c r="E73" s="48" t="s">
        <v>25</v>
      </c>
      <c r="F73" s="49"/>
      <c r="G73" s="50" t="s">
        <v>32</v>
      </c>
      <c r="H73" s="51"/>
      <c r="I73" s="52"/>
      <c r="J73" s="52">
        <v>2</v>
      </c>
      <c r="K73" s="53"/>
      <c r="L73" s="54">
        <v>59511</v>
      </c>
      <c r="M73" s="55">
        <f t="shared" ref="M73:M114" si="1">+J73*L73</f>
        <v>119022</v>
      </c>
    </row>
    <row r="74" spans="2:13" ht="30" hidden="1" x14ac:dyDescent="0.25">
      <c r="B74" s="61">
        <v>15</v>
      </c>
      <c r="C74" s="46" t="s">
        <v>96</v>
      </c>
      <c r="D74" s="47"/>
      <c r="E74" s="48" t="s">
        <v>25</v>
      </c>
      <c r="F74" s="49"/>
      <c r="G74" s="50" t="s">
        <v>32</v>
      </c>
      <c r="H74" s="51"/>
      <c r="I74" s="52"/>
      <c r="J74" s="52"/>
      <c r="K74" s="53"/>
      <c r="L74" s="54"/>
      <c r="M74" s="55">
        <f t="shared" si="1"/>
        <v>0</v>
      </c>
    </row>
    <row r="75" spans="2:13" hidden="1" x14ac:dyDescent="0.25">
      <c r="B75" s="61">
        <v>16</v>
      </c>
      <c r="C75" s="46" t="s">
        <v>97</v>
      </c>
      <c r="D75" s="47"/>
      <c r="E75" s="48" t="s">
        <v>25</v>
      </c>
      <c r="F75" s="49"/>
      <c r="G75" s="50" t="s">
        <v>32</v>
      </c>
      <c r="H75" s="51"/>
      <c r="I75" s="52"/>
      <c r="J75" s="52"/>
      <c r="K75" s="53"/>
      <c r="L75" s="54"/>
      <c r="M75" s="55">
        <f t="shared" si="1"/>
        <v>0</v>
      </c>
    </row>
    <row r="76" spans="2:13" hidden="1" x14ac:dyDescent="0.25">
      <c r="B76" s="61">
        <v>17</v>
      </c>
      <c r="C76" s="46" t="s">
        <v>98</v>
      </c>
      <c r="D76" s="47"/>
      <c r="E76" s="48" t="s">
        <v>25</v>
      </c>
      <c r="F76" s="49"/>
      <c r="G76" s="50" t="s">
        <v>32</v>
      </c>
      <c r="H76" s="51"/>
      <c r="I76" s="52"/>
      <c r="J76" s="52"/>
      <c r="K76" s="53"/>
      <c r="L76" s="54"/>
      <c r="M76" s="55">
        <f t="shared" si="1"/>
        <v>0</v>
      </c>
    </row>
    <row r="77" spans="2:13" x14ac:dyDescent="0.25">
      <c r="B77" s="61">
        <v>18</v>
      </c>
      <c r="C77" s="46" t="s">
        <v>99</v>
      </c>
      <c r="D77" s="47"/>
      <c r="E77" s="48" t="s">
        <v>25</v>
      </c>
      <c r="F77" s="49"/>
      <c r="G77" s="50" t="s">
        <v>32</v>
      </c>
      <c r="H77" s="51"/>
      <c r="I77" s="52"/>
      <c r="J77" s="52">
        <v>3</v>
      </c>
      <c r="K77" s="53"/>
      <c r="L77" s="54">
        <v>4150</v>
      </c>
      <c r="M77" s="55">
        <f t="shared" si="1"/>
        <v>12450</v>
      </c>
    </row>
    <row r="78" spans="2:13" hidden="1" x14ac:dyDescent="0.25">
      <c r="B78" s="61">
        <v>19</v>
      </c>
      <c r="C78" s="46" t="s">
        <v>100</v>
      </c>
      <c r="D78" s="47"/>
      <c r="E78" s="48" t="s">
        <v>25</v>
      </c>
      <c r="F78" s="49"/>
      <c r="G78" s="50" t="s">
        <v>32</v>
      </c>
      <c r="H78" s="51"/>
      <c r="I78" s="52"/>
      <c r="J78" s="52"/>
      <c r="K78" s="53"/>
      <c r="L78" s="54"/>
      <c r="M78" s="55">
        <f t="shared" si="1"/>
        <v>0</v>
      </c>
    </row>
    <row r="79" spans="2:13" hidden="1" x14ac:dyDescent="0.25">
      <c r="B79" s="61">
        <v>20</v>
      </c>
      <c r="C79" s="46" t="s">
        <v>101</v>
      </c>
      <c r="D79" s="47"/>
      <c r="E79" s="48" t="s">
        <v>25</v>
      </c>
      <c r="F79" s="49"/>
      <c r="G79" s="50" t="s">
        <v>32</v>
      </c>
      <c r="H79" s="51"/>
      <c r="I79" s="52"/>
      <c r="J79" s="52"/>
      <c r="K79" s="53"/>
      <c r="L79" s="54"/>
      <c r="M79" s="55">
        <f t="shared" si="1"/>
        <v>0</v>
      </c>
    </row>
    <row r="80" spans="2:13" hidden="1" x14ac:dyDescent="0.25">
      <c r="B80" s="61">
        <v>21</v>
      </c>
      <c r="C80" s="46" t="s">
        <v>102</v>
      </c>
      <c r="D80" s="47"/>
      <c r="E80" s="48" t="s">
        <v>25</v>
      </c>
      <c r="F80" s="49"/>
      <c r="G80" s="50" t="s">
        <v>32</v>
      </c>
      <c r="H80" s="51"/>
      <c r="I80" s="52"/>
      <c r="J80" s="52"/>
      <c r="K80" s="53"/>
      <c r="L80" s="54"/>
      <c r="M80" s="55">
        <f t="shared" si="1"/>
        <v>0</v>
      </c>
    </row>
    <row r="81" spans="2:13" ht="30" x14ac:dyDescent="0.25">
      <c r="B81" s="61">
        <v>22</v>
      </c>
      <c r="C81" s="46" t="s">
        <v>103</v>
      </c>
      <c r="D81" s="47"/>
      <c r="E81" s="48" t="s">
        <v>25</v>
      </c>
      <c r="F81" s="49"/>
      <c r="G81" s="50" t="s">
        <v>32</v>
      </c>
      <c r="H81" s="51"/>
      <c r="I81" s="52"/>
      <c r="J81" s="52">
        <v>5</v>
      </c>
      <c r="K81" s="53"/>
      <c r="L81" s="54">
        <v>136037</v>
      </c>
      <c r="M81" s="55">
        <f t="shared" si="1"/>
        <v>680185</v>
      </c>
    </row>
    <row r="82" spans="2:13" ht="30" x14ac:dyDescent="0.25">
      <c r="B82" s="61">
        <v>23</v>
      </c>
      <c r="C82" s="46" t="s">
        <v>104</v>
      </c>
      <c r="D82" s="47"/>
      <c r="E82" s="48" t="s">
        <v>25</v>
      </c>
      <c r="F82" s="49"/>
      <c r="G82" s="50"/>
      <c r="H82" s="51"/>
      <c r="I82" s="52"/>
      <c r="J82" s="52">
        <v>1</v>
      </c>
      <c r="K82" s="53"/>
      <c r="L82" s="54">
        <v>109145</v>
      </c>
      <c r="M82" s="55">
        <f t="shared" si="1"/>
        <v>109145</v>
      </c>
    </row>
    <row r="83" spans="2:13" ht="30" x14ac:dyDescent="0.25">
      <c r="B83" s="61">
        <v>24</v>
      </c>
      <c r="C83" s="46" t="s">
        <v>105</v>
      </c>
      <c r="D83" s="47"/>
      <c r="E83" s="48" t="s">
        <v>25</v>
      </c>
      <c r="F83" s="49"/>
      <c r="G83" s="50" t="s">
        <v>32</v>
      </c>
      <c r="H83" s="51"/>
      <c r="I83" s="52"/>
      <c r="J83" s="52">
        <v>12</v>
      </c>
      <c r="K83" s="53"/>
      <c r="L83" s="54">
        <v>34279</v>
      </c>
      <c r="M83" s="55">
        <f t="shared" si="1"/>
        <v>411348</v>
      </c>
    </row>
    <row r="84" spans="2:13" ht="30" x14ac:dyDescent="0.25">
      <c r="B84" s="61">
        <v>25</v>
      </c>
      <c r="C84" s="46" t="s">
        <v>106</v>
      </c>
      <c r="D84" s="47"/>
      <c r="E84" s="48" t="s">
        <v>25</v>
      </c>
      <c r="F84" s="49"/>
      <c r="G84" s="50" t="s">
        <v>32</v>
      </c>
      <c r="H84" s="51"/>
      <c r="I84" s="52"/>
      <c r="J84" s="52">
        <v>15</v>
      </c>
      <c r="K84" s="53"/>
      <c r="L84" s="54">
        <v>27390</v>
      </c>
      <c r="M84" s="55">
        <f t="shared" si="1"/>
        <v>410850</v>
      </c>
    </row>
    <row r="85" spans="2:13" ht="30" x14ac:dyDescent="0.25">
      <c r="B85" s="61">
        <v>26</v>
      </c>
      <c r="C85" s="46" t="s">
        <v>107</v>
      </c>
      <c r="D85" s="47"/>
      <c r="E85" s="48" t="s">
        <v>25</v>
      </c>
      <c r="F85" s="49"/>
      <c r="G85" s="50" t="s">
        <v>32</v>
      </c>
      <c r="H85" s="51"/>
      <c r="I85" s="52"/>
      <c r="J85" s="52">
        <v>19</v>
      </c>
      <c r="K85" s="53"/>
      <c r="L85" s="54">
        <v>16932</v>
      </c>
      <c r="M85" s="55">
        <f t="shared" si="1"/>
        <v>321708</v>
      </c>
    </row>
    <row r="86" spans="2:13" hidden="1" x14ac:dyDescent="0.25">
      <c r="B86" s="61">
        <v>27</v>
      </c>
      <c r="C86" s="46" t="s">
        <v>108</v>
      </c>
      <c r="D86" s="47"/>
      <c r="E86" s="48" t="s">
        <v>25</v>
      </c>
      <c r="F86" s="49"/>
      <c r="G86" s="50" t="s">
        <v>32</v>
      </c>
      <c r="H86" s="51"/>
      <c r="I86" s="52"/>
      <c r="J86" s="52"/>
      <c r="K86" s="53"/>
      <c r="L86" s="54"/>
      <c r="M86" s="55">
        <f t="shared" si="1"/>
        <v>0</v>
      </c>
    </row>
    <row r="87" spans="2:13" ht="30" hidden="1" x14ac:dyDescent="0.25">
      <c r="B87" s="61">
        <v>28</v>
      </c>
      <c r="C87" s="46" t="s">
        <v>109</v>
      </c>
      <c r="D87" s="47"/>
      <c r="E87" s="48" t="s">
        <v>25</v>
      </c>
      <c r="F87" s="49"/>
      <c r="G87" s="50" t="s">
        <v>32</v>
      </c>
      <c r="H87" s="51"/>
      <c r="I87" s="52"/>
      <c r="J87" s="52"/>
      <c r="K87" s="53"/>
      <c r="L87" s="54"/>
      <c r="M87" s="55">
        <f t="shared" si="1"/>
        <v>0</v>
      </c>
    </row>
    <row r="88" spans="2:13" hidden="1" x14ac:dyDescent="0.25">
      <c r="B88" s="61">
        <v>29</v>
      </c>
      <c r="C88" s="46" t="s">
        <v>110</v>
      </c>
      <c r="D88" s="47"/>
      <c r="E88" s="48" t="s">
        <v>25</v>
      </c>
      <c r="F88" s="49"/>
      <c r="G88" s="50" t="s">
        <v>32</v>
      </c>
      <c r="H88" s="51"/>
      <c r="I88" s="52"/>
      <c r="J88" s="52"/>
      <c r="K88" s="53"/>
      <c r="L88" s="54"/>
      <c r="M88" s="55">
        <f t="shared" si="1"/>
        <v>0</v>
      </c>
    </row>
    <row r="89" spans="2:13" hidden="1" x14ac:dyDescent="0.25">
      <c r="B89" s="61">
        <v>30</v>
      </c>
      <c r="C89" s="46" t="s">
        <v>111</v>
      </c>
      <c r="D89" s="47"/>
      <c r="E89" s="48" t="s">
        <v>25</v>
      </c>
      <c r="F89" s="49"/>
      <c r="G89" s="50" t="s">
        <v>32</v>
      </c>
      <c r="H89" s="51"/>
      <c r="I89" s="52"/>
      <c r="J89" s="52"/>
      <c r="K89" s="53"/>
      <c r="L89" s="54"/>
      <c r="M89" s="55">
        <f t="shared" si="1"/>
        <v>0</v>
      </c>
    </row>
    <row r="90" spans="2:13" ht="30" hidden="1" x14ac:dyDescent="0.25">
      <c r="B90" s="61">
        <v>31</v>
      </c>
      <c r="C90" s="46" t="s">
        <v>112</v>
      </c>
      <c r="D90" s="47"/>
      <c r="E90" s="48" t="s">
        <v>25</v>
      </c>
      <c r="F90" s="49"/>
      <c r="G90" s="50" t="s">
        <v>32</v>
      </c>
      <c r="H90" s="51"/>
      <c r="I90" s="52"/>
      <c r="J90" s="52"/>
      <c r="K90" s="53"/>
      <c r="L90" s="54"/>
      <c r="M90" s="55">
        <f t="shared" si="1"/>
        <v>0</v>
      </c>
    </row>
    <row r="91" spans="2:13" ht="30" hidden="1" x14ac:dyDescent="0.25">
      <c r="B91" s="61">
        <v>32</v>
      </c>
      <c r="C91" s="46" t="s">
        <v>113</v>
      </c>
      <c r="D91" s="47"/>
      <c r="E91" s="48" t="s">
        <v>25</v>
      </c>
      <c r="F91" s="49"/>
      <c r="G91" s="50" t="s">
        <v>32</v>
      </c>
      <c r="H91" s="51"/>
      <c r="I91" s="52"/>
      <c r="J91" s="52"/>
      <c r="K91" s="53"/>
      <c r="L91" s="54"/>
      <c r="M91" s="55">
        <f t="shared" si="1"/>
        <v>0</v>
      </c>
    </row>
    <row r="92" spans="2:13" ht="30" hidden="1" x14ac:dyDescent="0.25">
      <c r="B92" s="61">
        <v>33</v>
      </c>
      <c r="C92" s="46" t="s">
        <v>114</v>
      </c>
      <c r="D92" s="47"/>
      <c r="E92" s="48" t="s">
        <v>25</v>
      </c>
      <c r="F92" s="49"/>
      <c r="G92" s="50" t="s">
        <v>32</v>
      </c>
      <c r="H92" s="51"/>
      <c r="I92" s="52"/>
      <c r="J92" s="52"/>
      <c r="K92" s="53"/>
      <c r="L92" s="54"/>
      <c r="M92" s="55">
        <f t="shared" si="1"/>
        <v>0</v>
      </c>
    </row>
    <row r="93" spans="2:13" x14ac:dyDescent="0.25">
      <c r="B93" s="61">
        <v>34</v>
      </c>
      <c r="C93" s="46" t="s">
        <v>115</v>
      </c>
      <c r="D93" s="47"/>
      <c r="E93" s="48" t="s">
        <v>25</v>
      </c>
      <c r="F93" s="49"/>
      <c r="G93" s="50" t="s">
        <v>32</v>
      </c>
      <c r="H93" s="51"/>
      <c r="I93" s="52"/>
      <c r="J93" s="52">
        <v>4</v>
      </c>
      <c r="K93" s="53"/>
      <c r="L93" s="54">
        <v>78518</v>
      </c>
      <c r="M93" s="55">
        <f t="shared" si="1"/>
        <v>314072</v>
      </c>
    </row>
    <row r="94" spans="2:13" x14ac:dyDescent="0.25">
      <c r="B94" s="61">
        <v>35</v>
      </c>
      <c r="C94" s="46" t="s">
        <v>116</v>
      </c>
      <c r="D94" s="47"/>
      <c r="E94" s="48" t="s">
        <v>25</v>
      </c>
      <c r="F94" s="49"/>
      <c r="G94" s="50" t="s">
        <v>32</v>
      </c>
      <c r="H94" s="51"/>
      <c r="I94" s="52"/>
      <c r="J94" s="52">
        <v>30</v>
      </c>
      <c r="K94" s="53"/>
      <c r="L94" s="54">
        <v>22742</v>
      </c>
      <c r="M94" s="55">
        <f t="shared" si="1"/>
        <v>682260</v>
      </c>
    </row>
    <row r="95" spans="2:13" x14ac:dyDescent="0.25">
      <c r="B95" s="61">
        <v>36</v>
      </c>
      <c r="C95" s="46" t="s">
        <v>117</v>
      </c>
      <c r="D95" s="47"/>
      <c r="E95" s="48" t="s">
        <v>25</v>
      </c>
      <c r="F95" s="49"/>
      <c r="G95" s="50" t="s">
        <v>32</v>
      </c>
      <c r="H95" s="51"/>
      <c r="I95" s="52"/>
      <c r="J95" s="52">
        <v>5</v>
      </c>
      <c r="K95" s="53"/>
      <c r="L95" s="54">
        <v>8549</v>
      </c>
      <c r="M95" s="55">
        <f t="shared" si="1"/>
        <v>42745</v>
      </c>
    </row>
    <row r="96" spans="2:13" x14ac:dyDescent="0.25">
      <c r="B96" s="61">
        <v>37</v>
      </c>
      <c r="C96" s="46" t="s">
        <v>118</v>
      </c>
      <c r="D96" s="47"/>
      <c r="E96" s="48" t="s">
        <v>25</v>
      </c>
      <c r="F96" s="49"/>
      <c r="G96" s="50" t="s">
        <v>32</v>
      </c>
      <c r="H96" s="51"/>
      <c r="I96" s="52"/>
      <c r="J96" s="52">
        <v>25</v>
      </c>
      <c r="K96" s="53"/>
      <c r="L96" s="54">
        <v>3735</v>
      </c>
      <c r="M96" s="55">
        <f t="shared" si="1"/>
        <v>93375</v>
      </c>
    </row>
    <row r="97" spans="2:13" hidden="1" x14ac:dyDescent="0.25">
      <c r="B97" s="61">
        <v>38</v>
      </c>
      <c r="C97" s="59" t="s">
        <v>119</v>
      </c>
      <c r="D97" s="47"/>
      <c r="E97" s="48" t="s">
        <v>25</v>
      </c>
      <c r="F97" s="49"/>
      <c r="G97" s="48" t="s">
        <v>32</v>
      </c>
      <c r="H97" s="51"/>
      <c r="I97" s="52"/>
      <c r="J97" s="52"/>
      <c r="K97" s="53"/>
      <c r="L97" s="54"/>
      <c r="M97" s="55">
        <f t="shared" si="1"/>
        <v>0</v>
      </c>
    </row>
    <row r="98" spans="2:13" hidden="1" x14ac:dyDescent="0.25">
      <c r="B98" s="61">
        <v>39</v>
      </c>
      <c r="C98" s="59" t="s">
        <v>120</v>
      </c>
      <c r="D98" s="47"/>
      <c r="E98" s="48" t="s">
        <v>25</v>
      </c>
      <c r="F98" s="49"/>
      <c r="G98" s="48" t="s">
        <v>32</v>
      </c>
      <c r="H98" s="51"/>
      <c r="I98" s="52"/>
      <c r="J98" s="52"/>
      <c r="K98" s="53"/>
      <c r="L98" s="54"/>
      <c r="M98" s="55">
        <f t="shared" si="1"/>
        <v>0</v>
      </c>
    </row>
    <row r="99" spans="2:13" x14ac:dyDescent="0.25">
      <c r="B99" s="61">
        <v>40</v>
      </c>
      <c r="C99" s="59" t="s">
        <v>121</v>
      </c>
      <c r="D99" s="47"/>
      <c r="E99" s="48" t="s">
        <v>25</v>
      </c>
      <c r="F99" s="49"/>
      <c r="G99" s="48" t="s">
        <v>32</v>
      </c>
      <c r="H99" s="51"/>
      <c r="I99" s="52"/>
      <c r="J99" s="52">
        <v>20</v>
      </c>
      <c r="K99" s="53"/>
      <c r="L99" s="54">
        <v>1992</v>
      </c>
      <c r="M99" s="55">
        <f t="shared" si="1"/>
        <v>39840</v>
      </c>
    </row>
    <row r="100" spans="2:13" hidden="1" x14ac:dyDescent="0.25">
      <c r="B100" s="61">
        <v>41</v>
      </c>
      <c r="C100" s="59" t="s">
        <v>122</v>
      </c>
      <c r="D100" s="47"/>
      <c r="E100" s="48" t="s">
        <v>25</v>
      </c>
      <c r="F100" s="49"/>
      <c r="G100" s="48" t="s">
        <v>32</v>
      </c>
      <c r="H100" s="51"/>
      <c r="I100" s="52"/>
      <c r="J100" s="52"/>
      <c r="K100" s="53"/>
      <c r="L100" s="54"/>
      <c r="M100" s="55">
        <f t="shared" si="1"/>
        <v>0</v>
      </c>
    </row>
    <row r="101" spans="2:13" ht="30" x14ac:dyDescent="0.25">
      <c r="B101" s="61">
        <v>42</v>
      </c>
      <c r="C101" s="46" t="s">
        <v>123</v>
      </c>
      <c r="D101" s="47"/>
      <c r="E101" s="48" t="s">
        <v>25</v>
      </c>
      <c r="F101" s="49"/>
      <c r="G101" s="50" t="s">
        <v>32</v>
      </c>
      <c r="H101" s="51"/>
      <c r="I101" s="52"/>
      <c r="J101" s="52">
        <v>2</v>
      </c>
      <c r="K101" s="53"/>
      <c r="L101" s="54">
        <v>55112</v>
      </c>
      <c r="M101" s="55">
        <f t="shared" si="1"/>
        <v>110224</v>
      </c>
    </row>
    <row r="102" spans="2:13" ht="30" x14ac:dyDescent="0.25">
      <c r="B102" s="61">
        <v>43</v>
      </c>
      <c r="C102" s="46" t="s">
        <v>124</v>
      </c>
      <c r="D102" s="47"/>
      <c r="E102" s="48" t="s">
        <v>25</v>
      </c>
      <c r="F102" s="49"/>
      <c r="G102" s="50" t="s">
        <v>32</v>
      </c>
      <c r="H102" s="51"/>
      <c r="I102" s="52">
        <v>0</v>
      </c>
      <c r="J102" s="52">
        <v>12</v>
      </c>
      <c r="K102" s="53"/>
      <c r="L102" s="54">
        <v>8051</v>
      </c>
      <c r="M102" s="55">
        <f t="shared" si="1"/>
        <v>96612</v>
      </c>
    </row>
    <row r="103" spans="2:13" x14ac:dyDescent="0.25">
      <c r="B103" s="61">
        <v>44</v>
      </c>
      <c r="C103" s="46" t="s">
        <v>125</v>
      </c>
      <c r="D103" s="47"/>
      <c r="E103" s="48" t="s">
        <v>25</v>
      </c>
      <c r="F103" s="49"/>
      <c r="G103" s="50"/>
      <c r="H103" s="51"/>
      <c r="I103" s="52">
        <v>0</v>
      </c>
      <c r="J103" s="52">
        <v>1</v>
      </c>
      <c r="K103" s="53"/>
      <c r="L103" s="54">
        <v>196710</v>
      </c>
      <c r="M103" s="55">
        <f t="shared" si="1"/>
        <v>196710</v>
      </c>
    </row>
    <row r="104" spans="2:13" x14ac:dyDescent="0.25">
      <c r="B104" s="61">
        <v>45</v>
      </c>
      <c r="C104" s="46" t="s">
        <v>126</v>
      </c>
      <c r="D104" s="47"/>
      <c r="E104" s="48" t="s">
        <v>25</v>
      </c>
      <c r="F104" s="49"/>
      <c r="G104" s="50" t="s">
        <v>32</v>
      </c>
      <c r="H104" s="51"/>
      <c r="I104" s="52">
        <v>0</v>
      </c>
      <c r="J104" s="52">
        <v>6</v>
      </c>
      <c r="K104" s="53"/>
      <c r="L104" s="54">
        <v>66898</v>
      </c>
      <c r="M104" s="55">
        <f t="shared" si="1"/>
        <v>401388</v>
      </c>
    </row>
    <row r="105" spans="2:13" x14ac:dyDescent="0.25">
      <c r="B105" s="61">
        <v>46</v>
      </c>
      <c r="C105" s="46" t="s">
        <v>127</v>
      </c>
      <c r="D105" s="47"/>
      <c r="E105" s="48" t="s">
        <v>25</v>
      </c>
      <c r="F105" s="49"/>
      <c r="G105" s="50" t="s">
        <v>32</v>
      </c>
      <c r="H105" s="51"/>
      <c r="I105" s="52">
        <v>0</v>
      </c>
      <c r="J105" s="52">
        <v>5</v>
      </c>
      <c r="K105" s="53"/>
      <c r="L105" s="54">
        <v>42081</v>
      </c>
      <c r="M105" s="55">
        <f t="shared" si="1"/>
        <v>210405</v>
      </c>
    </row>
    <row r="106" spans="2:13" x14ac:dyDescent="0.25">
      <c r="B106" s="61">
        <v>47</v>
      </c>
      <c r="C106" s="46" t="s">
        <v>128</v>
      </c>
      <c r="D106" s="47"/>
      <c r="E106" s="48" t="s">
        <v>25</v>
      </c>
      <c r="F106" s="49"/>
      <c r="G106" s="50" t="s">
        <v>32</v>
      </c>
      <c r="H106" s="51"/>
      <c r="I106" s="52">
        <v>0</v>
      </c>
      <c r="J106" s="52">
        <v>4</v>
      </c>
      <c r="K106" s="53"/>
      <c r="L106" s="54">
        <v>16766</v>
      </c>
      <c r="M106" s="55">
        <f t="shared" si="1"/>
        <v>67064</v>
      </c>
    </row>
    <row r="107" spans="2:13" x14ac:dyDescent="0.25">
      <c r="B107" s="61">
        <v>48</v>
      </c>
      <c r="C107" s="46" t="s">
        <v>129</v>
      </c>
      <c r="D107" s="47"/>
      <c r="E107" s="48" t="s">
        <v>25</v>
      </c>
      <c r="F107" s="49"/>
      <c r="G107" s="50"/>
      <c r="H107" s="51"/>
      <c r="I107" s="52">
        <v>0</v>
      </c>
      <c r="J107" s="52">
        <v>2</v>
      </c>
      <c r="K107" s="53"/>
      <c r="L107" s="54">
        <v>0</v>
      </c>
      <c r="M107" s="55">
        <f t="shared" si="1"/>
        <v>0</v>
      </c>
    </row>
    <row r="108" spans="2:13" x14ac:dyDescent="0.25">
      <c r="B108" s="61">
        <v>49</v>
      </c>
      <c r="C108" s="46" t="s">
        <v>130</v>
      </c>
      <c r="D108" s="47"/>
      <c r="E108" s="48" t="s">
        <v>25</v>
      </c>
      <c r="F108" s="49"/>
      <c r="G108" s="50" t="s">
        <v>32</v>
      </c>
      <c r="H108" s="51"/>
      <c r="I108" s="52">
        <v>0</v>
      </c>
      <c r="J108" s="52">
        <v>6</v>
      </c>
      <c r="K108" s="53"/>
      <c r="L108" s="54">
        <v>67645</v>
      </c>
      <c r="M108" s="55">
        <f t="shared" si="1"/>
        <v>405870</v>
      </c>
    </row>
    <row r="109" spans="2:13" x14ac:dyDescent="0.25">
      <c r="B109" s="61">
        <v>50</v>
      </c>
      <c r="C109" s="46" t="s">
        <v>131</v>
      </c>
      <c r="D109" s="47"/>
      <c r="E109" s="48" t="s">
        <v>25</v>
      </c>
      <c r="F109" s="49"/>
      <c r="G109" s="50" t="s">
        <v>32</v>
      </c>
      <c r="H109" s="51"/>
      <c r="I109" s="52">
        <v>0</v>
      </c>
      <c r="J109" s="52">
        <v>7</v>
      </c>
      <c r="K109" s="53"/>
      <c r="L109" s="54">
        <v>42081</v>
      </c>
      <c r="M109" s="55">
        <f t="shared" si="1"/>
        <v>294567</v>
      </c>
    </row>
    <row r="110" spans="2:13" hidden="1" x14ac:dyDescent="0.25">
      <c r="B110" s="61">
        <v>51</v>
      </c>
      <c r="C110" s="46" t="s">
        <v>132</v>
      </c>
      <c r="D110" s="47"/>
      <c r="E110" s="48" t="s">
        <v>25</v>
      </c>
      <c r="F110" s="49"/>
      <c r="G110" s="50" t="s">
        <v>32</v>
      </c>
      <c r="H110" s="51"/>
      <c r="I110" s="52">
        <v>0</v>
      </c>
      <c r="J110" s="52">
        <v>0</v>
      </c>
      <c r="K110" s="53">
        <f t="shared" ref="K110:K114" si="2">I110+J110</f>
        <v>0</v>
      </c>
      <c r="L110" s="78"/>
      <c r="M110" s="79">
        <f t="shared" si="1"/>
        <v>0</v>
      </c>
    </row>
    <row r="111" spans="2:13" hidden="1" x14ac:dyDescent="0.25">
      <c r="B111" s="61">
        <v>52</v>
      </c>
      <c r="C111" s="46" t="s">
        <v>133</v>
      </c>
      <c r="D111" s="47"/>
      <c r="E111" s="48" t="s">
        <v>25</v>
      </c>
      <c r="F111" s="49"/>
      <c r="G111" s="50" t="s">
        <v>32</v>
      </c>
      <c r="H111" s="51"/>
      <c r="I111" s="52">
        <v>0</v>
      </c>
      <c r="J111" s="52">
        <v>0</v>
      </c>
      <c r="K111" s="53">
        <f t="shared" si="2"/>
        <v>0</v>
      </c>
      <c r="L111" s="78"/>
      <c r="M111" s="79">
        <f t="shared" si="1"/>
        <v>0</v>
      </c>
    </row>
    <row r="112" spans="2:13" hidden="1" x14ac:dyDescent="0.25">
      <c r="B112" s="61">
        <v>53</v>
      </c>
      <c r="C112" s="46" t="s">
        <v>134</v>
      </c>
      <c r="D112" s="47"/>
      <c r="E112" s="48" t="s">
        <v>25</v>
      </c>
      <c r="F112" s="49"/>
      <c r="G112" s="50" t="s">
        <v>32</v>
      </c>
      <c r="H112" s="51"/>
      <c r="I112" s="52">
        <v>0</v>
      </c>
      <c r="J112" s="52">
        <v>0</v>
      </c>
      <c r="K112" s="53">
        <f t="shared" si="2"/>
        <v>0</v>
      </c>
      <c r="L112" s="78"/>
      <c r="M112" s="79">
        <f t="shared" si="1"/>
        <v>0</v>
      </c>
    </row>
    <row r="113" spans="2:13" hidden="1" x14ac:dyDescent="0.25">
      <c r="B113" s="61">
        <v>54</v>
      </c>
      <c r="C113" s="46" t="s">
        <v>68</v>
      </c>
      <c r="D113" s="47"/>
      <c r="E113" s="48" t="s">
        <v>25</v>
      </c>
      <c r="F113" s="49"/>
      <c r="G113" s="50" t="s">
        <v>26</v>
      </c>
      <c r="H113" s="51"/>
      <c r="I113" s="52">
        <v>0</v>
      </c>
      <c r="J113" s="52">
        <v>0</v>
      </c>
      <c r="K113" s="53">
        <f t="shared" si="2"/>
        <v>0</v>
      </c>
      <c r="L113" s="78"/>
      <c r="M113" s="79">
        <f t="shared" si="1"/>
        <v>0</v>
      </c>
    </row>
    <row r="114" spans="2:13" hidden="1" x14ac:dyDescent="0.25">
      <c r="B114" s="103">
        <v>55</v>
      </c>
      <c r="C114" s="104" t="s">
        <v>70</v>
      </c>
      <c r="D114" s="105"/>
      <c r="E114" s="106" t="s">
        <v>25</v>
      </c>
      <c r="F114" s="107"/>
      <c r="G114" s="108" t="s">
        <v>32</v>
      </c>
      <c r="H114" s="109"/>
      <c r="I114" s="110">
        <v>0</v>
      </c>
      <c r="J114" s="110">
        <v>0</v>
      </c>
      <c r="K114" s="111">
        <f t="shared" si="2"/>
        <v>0</v>
      </c>
      <c r="L114" s="112"/>
      <c r="M114" s="113">
        <f t="shared" si="1"/>
        <v>0</v>
      </c>
    </row>
    <row r="115" spans="2:13" x14ac:dyDescent="0.25">
      <c r="B115" s="205" t="s">
        <v>135</v>
      </c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114">
        <f>+SUM(M8:M109)</f>
        <v>35265117</v>
      </c>
    </row>
    <row r="116" spans="2:13" x14ac:dyDescent="0.25">
      <c r="B116" s="205" t="s">
        <v>136</v>
      </c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114">
        <f>+M115*0.1</f>
        <v>3526511.7</v>
      </c>
    </row>
    <row r="117" spans="2:13" x14ac:dyDescent="0.25">
      <c r="B117" s="205" t="s">
        <v>137</v>
      </c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114">
        <f>+SUM(M115:M116)</f>
        <v>38791628.700000003</v>
      </c>
    </row>
    <row r="118" spans="2:13" x14ac:dyDescent="0.25">
      <c r="B118" s="206" t="s">
        <v>151</v>
      </c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8"/>
    </row>
    <row r="119" spans="2:13" s="13" customFormat="1" ht="18" customHeight="1" x14ac:dyDescent="0.25">
      <c r="B119" s="196" t="s">
        <v>21</v>
      </c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8"/>
    </row>
    <row r="120" spans="2:13" s="13" customFormat="1" ht="15" x14ac:dyDescent="0.25">
      <c r="B120" s="80" t="s">
        <v>152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81"/>
    </row>
    <row r="121" spans="2:13" s="18" customFormat="1" ht="34.5" customHeight="1" x14ac:dyDescent="0.25">
      <c r="B121" s="199" t="s">
        <v>143</v>
      </c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200"/>
    </row>
    <row r="122" spans="2:13" s="36" customFormat="1" ht="15.75" customHeight="1" x14ac:dyDescent="0.25">
      <c r="B122" s="201" t="s">
        <v>144</v>
      </c>
      <c r="C122" s="202"/>
      <c r="D122" s="202"/>
      <c r="E122" s="202"/>
      <c r="F122" s="202"/>
      <c r="G122" s="202"/>
      <c r="H122" s="35"/>
      <c r="I122" s="82"/>
      <c r="J122" s="151" t="s">
        <v>145</v>
      </c>
      <c r="K122" s="151"/>
      <c r="L122" s="151"/>
      <c r="M122" s="200"/>
    </row>
    <row r="123" spans="2:13" s="13" customFormat="1" ht="69.75" customHeight="1" x14ac:dyDescent="0.25">
      <c r="B123" s="203" t="s">
        <v>147</v>
      </c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204"/>
    </row>
    <row r="124" spans="2:13" s="13" customFormat="1" ht="6.75" customHeight="1" x14ac:dyDescent="0.25">
      <c r="C124" s="20"/>
      <c r="D124" s="21"/>
      <c r="E124" s="21"/>
      <c r="F124" s="21"/>
      <c r="G124" s="21"/>
    </row>
    <row r="125" spans="2:13" s="13" customFormat="1" ht="18" customHeight="1" x14ac:dyDescent="0.25">
      <c r="B125" s="86" t="s">
        <v>20</v>
      </c>
      <c r="C125" s="87"/>
      <c r="D125" s="88"/>
      <c r="E125" s="88"/>
      <c r="F125" s="88"/>
      <c r="G125" s="88"/>
      <c r="H125" s="89"/>
      <c r="I125" s="90"/>
      <c r="J125" s="90"/>
      <c r="K125" s="90"/>
      <c r="L125" s="90"/>
      <c r="M125" s="91"/>
    </row>
    <row r="126" spans="2:13" s="13" customFormat="1" ht="16.5" customHeight="1" x14ac:dyDescent="0.25">
      <c r="B126" s="92" t="s">
        <v>13</v>
      </c>
      <c r="C126" s="27"/>
      <c r="D126" s="15"/>
      <c r="E126" s="15"/>
      <c r="F126" s="15"/>
      <c r="G126" s="15"/>
      <c r="H126" s="17"/>
      <c r="I126" s="16"/>
      <c r="J126" s="16"/>
      <c r="K126" s="16"/>
      <c r="L126" s="16"/>
      <c r="M126" s="93"/>
    </row>
    <row r="127" spans="2:13" s="13" customFormat="1" ht="18" customHeight="1" x14ac:dyDescent="0.25">
      <c r="B127" s="92" t="s">
        <v>14</v>
      </c>
      <c r="C127" s="27"/>
      <c r="D127" s="15"/>
      <c r="E127" s="15"/>
      <c r="F127" s="15"/>
      <c r="G127" s="15"/>
      <c r="H127" s="17"/>
      <c r="I127" s="16"/>
      <c r="J127" s="16"/>
      <c r="K127" s="16"/>
      <c r="L127" s="16"/>
      <c r="M127" s="93"/>
    </row>
    <row r="128" spans="2:13" s="13" customFormat="1" ht="18" customHeight="1" x14ac:dyDescent="0.25">
      <c r="B128" s="194" t="s">
        <v>15</v>
      </c>
      <c r="C128" s="195"/>
      <c r="D128" s="94"/>
      <c r="E128" s="94"/>
      <c r="F128" s="94"/>
      <c r="G128" s="94"/>
      <c r="H128" s="84"/>
      <c r="I128" s="83"/>
      <c r="J128" s="83"/>
      <c r="K128" s="83"/>
      <c r="L128" s="83"/>
      <c r="M128" s="85"/>
    </row>
    <row r="129" spans="2:13" s="33" customFormat="1" ht="30.75" customHeight="1" x14ac:dyDescent="0.25">
      <c r="B129" s="193" t="s">
        <v>22</v>
      </c>
      <c r="C129" s="193"/>
      <c r="D129" s="193"/>
      <c r="E129" s="193"/>
      <c r="F129" s="193"/>
      <c r="G129" s="193"/>
      <c r="H129" s="193"/>
      <c r="I129" s="32"/>
    </row>
    <row r="130" spans="2:13" s="13" customFormat="1" ht="15" customHeight="1" x14ac:dyDescent="0.25">
      <c r="B130" s="41"/>
      <c r="C130" s="21"/>
      <c r="D130" s="21"/>
      <c r="F130" s="160" t="s">
        <v>17</v>
      </c>
      <c r="G130" s="160"/>
      <c r="H130" s="160"/>
      <c r="I130" s="160"/>
      <c r="J130" s="160"/>
      <c r="K130" s="160"/>
      <c r="L130" s="160"/>
      <c r="M130" s="160"/>
    </row>
    <row r="131" spans="2:13" s="13" customFormat="1" ht="15" x14ac:dyDescent="0.25">
      <c r="B131" s="41"/>
      <c r="C131" s="30" t="s">
        <v>0</v>
      </c>
      <c r="F131" s="161" t="s">
        <v>1</v>
      </c>
      <c r="G131" s="161"/>
      <c r="H131" s="161"/>
      <c r="I131" s="161"/>
      <c r="J131" s="161"/>
      <c r="K131" s="161"/>
      <c r="L131" s="161"/>
      <c r="M131" s="161"/>
    </row>
    <row r="132" spans="2:13" s="13" customFormat="1" ht="15" x14ac:dyDescent="0.25">
      <c r="B132" s="41"/>
      <c r="C132" s="43" t="s">
        <v>6</v>
      </c>
      <c r="F132" s="154"/>
      <c r="G132" s="154"/>
      <c r="H132" s="154"/>
    </row>
    <row r="133" spans="2:13" s="4" customFormat="1" ht="15" x14ac:dyDescent="0.25">
      <c r="B133" s="5"/>
      <c r="C133" s="42"/>
    </row>
    <row r="134" spans="2:13" s="4" customFormat="1" ht="15" x14ac:dyDescent="0.25">
      <c r="B134" s="5"/>
      <c r="C134" s="42"/>
    </row>
    <row r="135" spans="2:13" s="4" customFormat="1" ht="15" x14ac:dyDescent="0.25">
      <c r="B135" s="5"/>
      <c r="C135" s="42"/>
      <c r="F135" s="156"/>
      <c r="G135" s="156"/>
      <c r="H135" s="156"/>
    </row>
    <row r="136" spans="2:13" s="4" customFormat="1" ht="15" x14ac:dyDescent="0.25">
      <c r="B136" s="5"/>
      <c r="C136" s="42"/>
    </row>
  </sheetData>
  <mergeCells count="23">
    <mergeCell ref="B5:C5"/>
    <mergeCell ref="B1:C4"/>
    <mergeCell ref="D2:M2"/>
    <mergeCell ref="D1:M1"/>
    <mergeCell ref="D3:M3"/>
    <mergeCell ref="D4:M4"/>
    <mergeCell ref="D5:M5"/>
    <mergeCell ref="B115:L115"/>
    <mergeCell ref="B116:L116"/>
    <mergeCell ref="B117:L117"/>
    <mergeCell ref="B118:M118"/>
    <mergeCell ref="B6:M6"/>
    <mergeCell ref="B128:C128"/>
    <mergeCell ref="B119:M119"/>
    <mergeCell ref="B121:M121"/>
    <mergeCell ref="B122:G122"/>
    <mergeCell ref="J122:M122"/>
    <mergeCell ref="B123:M123"/>
    <mergeCell ref="B129:H129"/>
    <mergeCell ref="F132:H132"/>
    <mergeCell ref="F135:H135"/>
    <mergeCell ref="F130:M130"/>
    <mergeCell ref="F131:M131"/>
  </mergeCells>
  <pageMargins left="0.7" right="0.4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workbookViewId="0">
      <selection activeCell="B24" sqref="B24:H24"/>
    </sheetView>
  </sheetViews>
  <sheetFormatPr defaultColWidth="9.140625" defaultRowHeight="15.75" x14ac:dyDescent="0.25"/>
  <cols>
    <col min="1" max="1" width="1" style="1" customWidth="1"/>
    <col min="2" max="2" width="5" style="1" customWidth="1"/>
    <col min="3" max="3" width="18.140625" style="1" customWidth="1"/>
    <col min="4" max="4" width="12.42578125" style="1" customWidth="1"/>
    <col min="5" max="5" width="8" style="1" customWidth="1"/>
    <col min="6" max="6" width="12" style="1" customWidth="1"/>
    <col min="7" max="7" width="13.28515625" style="1" customWidth="1"/>
    <col min="8" max="8" width="18.42578125" style="2" customWidth="1"/>
    <col min="9" max="9" width="9.140625" style="1"/>
    <col min="10" max="10" width="15.7109375" style="1" bestFit="1" customWidth="1"/>
    <col min="11" max="16384" width="9.140625" style="1"/>
  </cols>
  <sheetData>
    <row r="1" spans="2:10" s="3" customFormat="1" ht="18.75" customHeight="1" x14ac:dyDescent="0.25">
      <c r="B1" s="169"/>
      <c r="C1" s="170"/>
      <c r="D1" s="175" t="s">
        <v>163</v>
      </c>
      <c r="E1" s="176"/>
      <c r="F1" s="176"/>
      <c r="G1" s="176"/>
      <c r="H1" s="177"/>
    </row>
    <row r="2" spans="2:10" s="3" customFormat="1" ht="17.25" customHeight="1" x14ac:dyDescent="0.25">
      <c r="B2" s="171"/>
      <c r="C2" s="172"/>
      <c r="D2" s="178" t="s">
        <v>164</v>
      </c>
      <c r="E2" s="179"/>
      <c r="F2" s="179"/>
      <c r="G2" s="179"/>
      <c r="H2" s="180"/>
    </row>
    <row r="3" spans="2:10" s="3" customFormat="1" ht="17.25" customHeight="1" x14ac:dyDescent="0.25">
      <c r="B3" s="171"/>
      <c r="C3" s="172"/>
      <c r="D3" s="178" t="s">
        <v>3</v>
      </c>
      <c r="E3" s="179"/>
      <c r="F3" s="179"/>
      <c r="G3" s="179"/>
      <c r="H3" s="180"/>
    </row>
    <row r="4" spans="2:10" s="3" customFormat="1" ht="24.75" customHeight="1" x14ac:dyDescent="0.35">
      <c r="B4" s="173"/>
      <c r="C4" s="174"/>
      <c r="D4" s="166" t="s">
        <v>10</v>
      </c>
      <c r="E4" s="167"/>
      <c r="F4" s="167"/>
      <c r="G4" s="167"/>
      <c r="H4" s="168"/>
    </row>
    <row r="5" spans="2:10" s="13" customFormat="1" ht="18" customHeight="1" x14ac:dyDescent="0.25">
      <c r="B5" s="183" t="s">
        <v>12</v>
      </c>
      <c r="C5" s="183"/>
      <c r="D5" s="184" t="s">
        <v>161</v>
      </c>
      <c r="E5" s="184"/>
      <c r="F5" s="184"/>
      <c r="G5" s="184"/>
      <c r="H5" s="184"/>
    </row>
    <row r="6" spans="2:10" s="7" customFormat="1" ht="27" customHeight="1" x14ac:dyDescent="0.25">
      <c r="B6" s="187" t="s">
        <v>16</v>
      </c>
      <c r="C6" s="187"/>
      <c r="D6" s="187"/>
      <c r="E6" s="187"/>
      <c r="F6" s="187"/>
      <c r="G6" s="187"/>
      <c r="H6" s="187"/>
    </row>
    <row r="7" spans="2:10" s="30" customFormat="1" ht="34.5" customHeight="1" x14ac:dyDescent="0.25">
      <c r="B7" s="37" t="s">
        <v>11</v>
      </c>
      <c r="C7" s="185" t="s">
        <v>4</v>
      </c>
      <c r="D7" s="186"/>
      <c r="E7" s="136" t="s">
        <v>9</v>
      </c>
      <c r="F7" s="37" t="s">
        <v>5</v>
      </c>
      <c r="G7" s="37" t="s">
        <v>7</v>
      </c>
      <c r="H7" s="37" t="s">
        <v>8</v>
      </c>
    </row>
    <row r="8" spans="2:10" s="7" customFormat="1" x14ac:dyDescent="0.25">
      <c r="B8" s="9">
        <v>1</v>
      </c>
      <c r="C8" s="144" t="s">
        <v>167</v>
      </c>
      <c r="D8" s="145"/>
      <c r="E8" s="121" t="s">
        <v>32</v>
      </c>
      <c r="F8" s="8">
        <v>16</v>
      </c>
      <c r="G8" s="122">
        <v>128000</v>
      </c>
      <c r="H8" s="115">
        <f>+F8*G8</f>
        <v>2048000</v>
      </c>
      <c r="J8" s="129"/>
    </row>
    <row r="9" spans="2:10" s="7" customFormat="1" x14ac:dyDescent="0.25">
      <c r="B9" s="9">
        <v>2</v>
      </c>
      <c r="C9" s="144" t="s">
        <v>168</v>
      </c>
      <c r="D9" s="145"/>
      <c r="E9" s="121" t="s">
        <v>32</v>
      </c>
      <c r="F9" s="8">
        <v>16</v>
      </c>
      <c r="G9" s="122">
        <v>127000</v>
      </c>
      <c r="H9" s="115">
        <f t="shared" ref="H9:H11" si="0">+F9*G9</f>
        <v>2032000</v>
      </c>
      <c r="J9" s="129"/>
    </row>
    <row r="10" spans="2:10" s="7" customFormat="1" x14ac:dyDescent="0.25">
      <c r="B10" s="9">
        <v>3</v>
      </c>
      <c r="C10" s="144" t="s">
        <v>169</v>
      </c>
      <c r="D10" s="145"/>
      <c r="E10" s="121" t="s">
        <v>32</v>
      </c>
      <c r="F10" s="8">
        <v>16</v>
      </c>
      <c r="G10" s="122">
        <v>116000</v>
      </c>
      <c r="H10" s="115">
        <f t="shared" si="0"/>
        <v>1856000</v>
      </c>
      <c r="J10" s="129"/>
    </row>
    <row r="11" spans="2:10" s="7" customFormat="1" x14ac:dyDescent="0.25">
      <c r="B11" s="9">
        <v>4</v>
      </c>
      <c r="C11" s="144" t="s">
        <v>170</v>
      </c>
      <c r="D11" s="145"/>
      <c r="E11" s="121" t="s">
        <v>32</v>
      </c>
      <c r="F11" s="8">
        <v>16</v>
      </c>
      <c r="G11" s="122">
        <v>95000</v>
      </c>
      <c r="H11" s="115">
        <f t="shared" si="0"/>
        <v>1520000</v>
      </c>
      <c r="J11" s="129"/>
    </row>
    <row r="12" spans="2:10" s="7" customFormat="1" hidden="1" x14ac:dyDescent="0.25">
      <c r="B12" s="9"/>
      <c r="C12" s="144"/>
      <c r="D12" s="145"/>
      <c r="E12" s="121"/>
      <c r="F12" s="8"/>
      <c r="G12" s="122"/>
      <c r="H12" s="115"/>
      <c r="J12" s="129"/>
    </row>
    <row r="13" spans="2:10" s="7" customFormat="1" hidden="1" x14ac:dyDescent="0.25">
      <c r="B13" s="9"/>
      <c r="C13" s="144"/>
      <c r="D13" s="145"/>
      <c r="E13" s="121"/>
      <c r="F13" s="8"/>
      <c r="G13" s="122"/>
      <c r="H13" s="115"/>
      <c r="J13" s="129"/>
    </row>
    <row r="14" spans="2:10" s="7" customFormat="1" hidden="1" x14ac:dyDescent="0.25">
      <c r="B14" s="9"/>
      <c r="C14" s="144"/>
      <c r="D14" s="145"/>
      <c r="E14" s="121"/>
      <c r="F14" s="8"/>
      <c r="G14" s="122"/>
      <c r="H14" s="115"/>
      <c r="J14" s="129"/>
    </row>
    <row r="15" spans="2:10" s="7" customFormat="1" hidden="1" x14ac:dyDescent="0.25">
      <c r="B15" s="9"/>
      <c r="C15" s="144"/>
      <c r="D15" s="145"/>
      <c r="E15" s="121"/>
      <c r="F15" s="8"/>
      <c r="G15" s="122"/>
      <c r="H15" s="115"/>
      <c r="J15" s="129"/>
    </row>
    <row r="16" spans="2:10" s="7" customFormat="1" hidden="1" x14ac:dyDescent="0.25">
      <c r="B16" s="9"/>
      <c r="C16" s="144"/>
      <c r="D16" s="145"/>
      <c r="E16" s="121"/>
      <c r="F16" s="8"/>
      <c r="G16" s="122"/>
      <c r="H16" s="115"/>
      <c r="J16" s="129"/>
    </row>
    <row r="17" spans="2:10" s="7" customFormat="1" hidden="1" x14ac:dyDescent="0.25">
      <c r="B17" s="9"/>
      <c r="C17" s="144"/>
      <c r="D17" s="145"/>
      <c r="E17" s="121"/>
      <c r="F17" s="8"/>
      <c r="G17" s="122"/>
      <c r="H17" s="115"/>
      <c r="J17" s="129"/>
    </row>
    <row r="18" spans="2:10" s="7" customFormat="1" hidden="1" x14ac:dyDescent="0.25">
      <c r="B18" s="9"/>
      <c r="C18" s="144"/>
      <c r="D18" s="145"/>
      <c r="E18" s="121"/>
      <c r="F18" s="8"/>
      <c r="G18" s="122"/>
      <c r="H18" s="115"/>
      <c r="J18" s="129"/>
    </row>
    <row r="19" spans="2:10" s="7" customFormat="1" ht="54" hidden="1" customHeight="1" x14ac:dyDescent="0.25">
      <c r="B19" s="9"/>
      <c r="C19" s="192"/>
      <c r="D19" s="145"/>
      <c r="E19" s="121"/>
      <c r="F19" s="8"/>
      <c r="G19" s="122"/>
      <c r="H19" s="115"/>
      <c r="J19" s="129"/>
    </row>
    <row r="20" spans="2:10" s="7" customFormat="1" x14ac:dyDescent="0.25">
      <c r="B20" s="10">
        <v>5</v>
      </c>
      <c r="C20" s="162"/>
      <c r="D20" s="163"/>
      <c r="E20" s="132"/>
      <c r="F20" s="12"/>
      <c r="G20" s="12"/>
      <c r="H20" s="123"/>
      <c r="J20" s="129"/>
    </row>
    <row r="21" spans="2:10" s="30" customFormat="1" ht="18" customHeight="1" x14ac:dyDescent="0.25">
      <c r="B21" s="146" t="s">
        <v>157</v>
      </c>
      <c r="C21" s="147"/>
      <c r="D21" s="147"/>
      <c r="E21" s="147"/>
      <c r="F21" s="147"/>
      <c r="G21" s="147"/>
      <c r="H21" s="116">
        <f>+SUM(H8:H20)</f>
        <v>7456000</v>
      </c>
      <c r="J21" s="130"/>
    </row>
    <row r="22" spans="2:10" s="30" customFormat="1" ht="15" x14ac:dyDescent="0.25">
      <c r="B22" s="146" t="s">
        <v>171</v>
      </c>
      <c r="C22" s="147"/>
      <c r="D22" s="147"/>
      <c r="E22" s="147"/>
      <c r="F22" s="147"/>
      <c r="G22" s="147"/>
      <c r="H22" s="118">
        <f>+H21*0.05</f>
        <v>372800</v>
      </c>
    </row>
    <row r="23" spans="2:10" s="30" customFormat="1" thickBot="1" x14ac:dyDescent="0.3">
      <c r="B23" s="164" t="s">
        <v>19</v>
      </c>
      <c r="C23" s="165"/>
      <c r="D23" s="165"/>
      <c r="E23" s="165"/>
      <c r="F23" s="165"/>
      <c r="G23" s="165"/>
      <c r="H23" s="117">
        <f>+H21-H22</f>
        <v>7083200</v>
      </c>
    </row>
    <row r="24" spans="2:10" s="13" customFormat="1" ht="18" customHeight="1" x14ac:dyDescent="0.25">
      <c r="B24" s="157" t="s">
        <v>21</v>
      </c>
      <c r="C24" s="158"/>
      <c r="D24" s="158"/>
      <c r="E24" s="158"/>
      <c r="F24" s="158"/>
      <c r="G24" s="158"/>
      <c r="H24" s="159"/>
    </row>
    <row r="25" spans="2:10" s="13" customFormat="1" ht="15" x14ac:dyDescent="0.25">
      <c r="B25" s="14" t="s">
        <v>2</v>
      </c>
      <c r="C25" s="15"/>
      <c r="D25" s="15"/>
      <c r="E25" s="148"/>
      <c r="F25" s="148"/>
      <c r="G25" s="148"/>
      <c r="H25" s="149"/>
    </row>
    <row r="26" spans="2:10" s="18" customFormat="1" ht="31.5" customHeight="1" x14ac:dyDescent="0.25">
      <c r="B26" s="150" t="s">
        <v>165</v>
      </c>
      <c r="C26" s="151"/>
      <c r="D26" s="151"/>
      <c r="E26" s="151"/>
      <c r="F26" s="151"/>
      <c r="G26" s="151"/>
      <c r="H26" s="152"/>
    </row>
    <row r="27" spans="2:10" s="36" customFormat="1" ht="15.75" customHeight="1" x14ac:dyDescent="0.25">
      <c r="B27" s="39" t="s">
        <v>162</v>
      </c>
      <c r="C27" s="131"/>
      <c r="D27" s="131"/>
      <c r="E27" s="131"/>
      <c r="F27" s="138" t="s">
        <v>156</v>
      </c>
      <c r="G27" s="138"/>
      <c r="H27" s="119"/>
    </row>
    <row r="28" spans="2:10" s="13" customFormat="1" ht="33.75" customHeight="1" thickBot="1" x14ac:dyDescent="0.3">
      <c r="B28" s="155" t="s">
        <v>155</v>
      </c>
      <c r="C28" s="140"/>
      <c r="D28" s="140"/>
      <c r="E28" s="139" t="s">
        <v>166</v>
      </c>
      <c r="F28" s="140"/>
      <c r="G28" s="140"/>
      <c r="H28" s="141"/>
    </row>
    <row r="29" spans="2:10" s="13" customFormat="1" thickBot="1" x14ac:dyDescent="0.3">
      <c r="C29" s="20"/>
      <c r="D29" s="21"/>
      <c r="E29" s="21"/>
      <c r="F29" s="21"/>
      <c r="G29" s="21"/>
    </row>
    <row r="30" spans="2:10" s="13" customFormat="1" ht="15" x14ac:dyDescent="0.25">
      <c r="B30" s="22" t="s">
        <v>20</v>
      </c>
      <c r="C30" s="23"/>
      <c r="D30" s="24"/>
      <c r="E30" s="24"/>
      <c r="F30" s="24"/>
      <c r="G30" s="24"/>
      <c r="H30" s="25"/>
    </row>
    <row r="31" spans="2:10" s="13" customFormat="1" ht="15" x14ac:dyDescent="0.25">
      <c r="B31" s="26" t="s">
        <v>13</v>
      </c>
      <c r="C31" s="27"/>
      <c r="D31" s="15"/>
      <c r="E31" s="15"/>
      <c r="F31" s="15"/>
      <c r="G31" s="15"/>
      <c r="H31" s="17"/>
    </row>
    <row r="32" spans="2:10" s="13" customFormat="1" ht="15" x14ac:dyDescent="0.25">
      <c r="B32" s="26" t="s">
        <v>159</v>
      </c>
      <c r="C32" s="27"/>
      <c r="D32" s="15"/>
      <c r="E32" s="15"/>
      <c r="F32" s="15"/>
      <c r="G32" s="15"/>
      <c r="H32" s="17"/>
    </row>
    <row r="33" spans="2:9" s="13" customFormat="1" thickBot="1" x14ac:dyDescent="0.3">
      <c r="B33" s="153" t="s">
        <v>15</v>
      </c>
      <c r="C33" s="140"/>
      <c r="D33" s="28"/>
      <c r="E33" s="28"/>
      <c r="F33" s="28"/>
      <c r="G33" s="28"/>
      <c r="H33" s="19"/>
    </row>
    <row r="34" spans="2:9" s="33" customFormat="1" ht="15" x14ac:dyDescent="0.25">
      <c r="B34" s="137" t="s">
        <v>22</v>
      </c>
      <c r="C34" s="137"/>
      <c r="D34" s="137"/>
      <c r="E34" s="137"/>
      <c r="F34" s="137"/>
      <c r="G34" s="137"/>
      <c r="H34" s="137"/>
      <c r="I34" s="32"/>
    </row>
    <row r="35" spans="2:9" s="13" customFormat="1" ht="15" x14ac:dyDescent="0.25">
      <c r="B35" s="133"/>
      <c r="C35" s="21"/>
      <c r="D35" s="21"/>
      <c r="F35" s="160" t="s">
        <v>17</v>
      </c>
      <c r="G35" s="160"/>
      <c r="H35" s="160"/>
      <c r="I35" s="21"/>
    </row>
    <row r="36" spans="2:9" s="13" customFormat="1" ht="15" x14ac:dyDescent="0.25">
      <c r="B36" s="133"/>
      <c r="C36" s="30" t="s">
        <v>0</v>
      </c>
      <c r="F36" s="161" t="s">
        <v>1</v>
      </c>
      <c r="G36" s="161"/>
      <c r="H36" s="161"/>
    </row>
    <row r="37" spans="2:9" s="13" customFormat="1" ht="15" x14ac:dyDescent="0.25">
      <c r="B37" s="133"/>
      <c r="C37" s="135" t="s">
        <v>6</v>
      </c>
      <c r="F37" s="154"/>
      <c r="G37" s="154"/>
      <c r="H37" s="154"/>
    </row>
    <row r="38" spans="2:9" s="4" customFormat="1" ht="15" x14ac:dyDescent="0.25">
      <c r="B38" s="5"/>
      <c r="C38" s="134"/>
    </row>
    <row r="39" spans="2:9" s="4" customFormat="1" ht="15" x14ac:dyDescent="0.25">
      <c r="B39" s="5"/>
      <c r="C39" s="134" t="s">
        <v>158</v>
      </c>
    </row>
    <row r="40" spans="2:9" s="4" customFormat="1" ht="15" x14ac:dyDescent="0.25">
      <c r="B40" s="5"/>
      <c r="C40" s="134"/>
      <c r="F40" s="156"/>
      <c r="G40" s="156"/>
      <c r="H40" s="156"/>
    </row>
    <row r="41" spans="2:9" s="4" customFormat="1" ht="15" x14ac:dyDescent="0.25">
      <c r="B41" s="5"/>
      <c r="C41" s="134"/>
    </row>
  </sheetData>
  <mergeCells count="37">
    <mergeCell ref="C13:D13"/>
    <mergeCell ref="B6:H6"/>
    <mergeCell ref="C7:D7"/>
    <mergeCell ref="B1:C4"/>
    <mergeCell ref="D1:H1"/>
    <mergeCell ref="D2:H2"/>
    <mergeCell ref="D3:H3"/>
    <mergeCell ref="D4:H4"/>
    <mergeCell ref="B5:C5"/>
    <mergeCell ref="D5:H5"/>
    <mergeCell ref="C8:D8"/>
    <mergeCell ref="C9:D9"/>
    <mergeCell ref="C10:D10"/>
    <mergeCell ref="C11:D11"/>
    <mergeCell ref="C12:D12"/>
    <mergeCell ref="E25:H25"/>
    <mergeCell ref="C14:D14"/>
    <mergeCell ref="C15:D15"/>
    <mergeCell ref="C16:D16"/>
    <mergeCell ref="C17:D17"/>
    <mergeCell ref="C18:D18"/>
    <mergeCell ref="C19:D19"/>
    <mergeCell ref="C20:D20"/>
    <mergeCell ref="B21:G21"/>
    <mergeCell ref="B22:G22"/>
    <mergeCell ref="B23:G23"/>
    <mergeCell ref="B24:H24"/>
    <mergeCell ref="F35:H35"/>
    <mergeCell ref="F36:H36"/>
    <mergeCell ref="F37:H37"/>
    <mergeCell ref="F40:H40"/>
    <mergeCell ref="B26:H26"/>
    <mergeCell ref="F27:G27"/>
    <mergeCell ref="B28:D28"/>
    <mergeCell ref="E28:H28"/>
    <mergeCell ref="B33:C33"/>
    <mergeCell ref="B34:H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02- DE XUAT MUA HANG</vt:lpstr>
      <vt:lpstr>Sheet1</vt:lpstr>
      <vt:lpstr>Sheet2</vt:lpstr>
      <vt:lpstr>'02- DE XUAT MUA HANG'!Print_Area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2017-09-20T07:32:22Z</dcterms:modified>
</cp:coreProperties>
</file>